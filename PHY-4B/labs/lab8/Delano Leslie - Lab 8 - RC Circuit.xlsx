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Graphs Calcula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<sst xmlns="http://schemas.openxmlformats.org/spreadsheetml/2006/main" count="47" uniqueCount="32">
  <si>
    <t xml:space="preserve">Name:</t>
  </si>
  <si>
    <t xml:space="preserve">Delano Leslie</t>
  </si>
  <si>
    <t xml:space="preserve">Partner(s):</t>
  </si>
  <si>
    <t xml:space="preserve">Miguel Torres, Wiliam Ro, Sean Williams</t>
  </si>
  <si>
    <t xml:space="preserve">Date:</t>
  </si>
  <si>
    <t xml:space="preserve">04/22/26</t>
  </si>
  <si>
    <t xml:space="preserve">Table #:  </t>
  </si>
  <si>
    <t xml:space="preserve">3</t>
  </si>
  <si>
    <t xml:space="preserve">Capacitor #1</t>
  </si>
  <si>
    <t xml:space="preserve">Capacitor #2</t>
  </si>
  <si>
    <t xml:space="preserve">Capacitor #3</t>
  </si>
  <si>
    <t xml:space="preserve">Black</t>
  </si>
  <si>
    <t xml:space="preserve">Green / Gold</t>
  </si>
  <si>
    <t xml:space="preserve">Green / White</t>
  </si>
  <si>
    <t xml:space="preserve">V(v)</t>
  </si>
  <si>
    <t xml:space="preserve">t(s)</t>
  </si>
  <si>
    <t xml:space="preserve">ln(V)</t>
  </si>
  <si>
    <t xml:space="preserve">Calculations</t>
  </si>
  <si>
    <t xml:space="preserve">Calculate the capacitance of each capacitor</t>
  </si>
  <si>
    <t xml:space="preserve">Trial 1</t>
  </si>
  <si>
    <t xml:space="preserve">C</t>
  </si>
  <si>
    <t xml:space="preserve">=</t>
  </si>
  <si>
    <r>
      <rPr>
        <sz val="12"/>
        <color rgb="FF000000"/>
        <rFont val="Symbol"/>
        <family val="1"/>
        <charset val="2"/>
      </rPr>
      <t xml:space="preserve">m</t>
    </r>
    <r>
      <rPr>
        <sz val="12"/>
        <color rgb="FF000000"/>
        <rFont val="Calibri"/>
        <family val="2"/>
        <charset val="1"/>
      </rPr>
      <t xml:space="preserve">F</t>
    </r>
  </si>
  <si>
    <t xml:space="preserve">R (slope)</t>
  </si>
  <si>
    <t xml:space="preserve"> (10.0 MW)  (            )</t>
  </si>
  <si>
    <t xml:space="preserve">Trial 2</t>
  </si>
  <si>
    <t xml:space="preserve">Trial 3</t>
  </si>
  <si>
    <t xml:space="preserve">Calculate the expected value of the total capacitance</t>
  </si>
  <si>
    <t xml:space="preserve">Calculate the measured value of the total capacitance</t>
  </si>
  <si>
    <t xml:space="preserve">% Diff </t>
  </si>
  <si>
    <t xml:space="preserve">meas - expec </t>
  </si>
  <si>
    <t xml:space="preserve">expec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</si>
</sst>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00"/>
    <numFmt numFmtId="167" formatCode="0.00"/>
    <numFmt numFmtId="168" formatCode="0%"/>
    <numFmt numFmtId="169" formatCode="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theme="1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</font>
    <font>
      <b val="true"/>
      <i val="true"/>
      <sz val="12"/>
      <color theme="1"/>
      <name val="Calibri"/>
      <family val="2"/>
      <charset val="1"/>
    </font>
    <font>
      <sz val="12"/>
      <color rgb="FF000000"/>
      <name val="Calibri"/>
      <family val="2"/>
      <charset val="1"/>
    </font>
    <font>
      <i val="true"/>
      <sz val="12"/>
      <color rgb="FF000000"/>
      <name val="Calibri"/>
      <family val="2"/>
      <charset val="1"/>
    </font>
    <font>
      <sz val="16"/>
      <color rgb="FF000000"/>
      <name val="Symbol"/>
      <family val="1"/>
      <charset val="2"/>
    </font>
    <font>
      <sz val="11"/>
      <color rgb="FF000000"/>
      <name val="Symbol"/>
      <family val="1"/>
      <charset val="2"/>
    </font>
    <font>
      <sz val="12"/>
      <color rgb="FF000000"/>
      <name val="Symbol"/>
      <family val="1"/>
      <charset val="2"/>
    </font>
    <font>
      <sz val="13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0" fillId="0" borderId="0" xfId="19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300" b="0" u="none" strike="noStrike">
                <a:uFillTx/>
                <a:latin typeface="Arial"/>
              </a:rPr>
              <a:t>Voltage Of Capacitor Over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'Data Graphs Calculations'!$D$9</c:f>
              <c:strCache>
                <c:ptCount val="1"/>
                <c:pt idx="0">
                  <c:v>Capacitor #1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004586"/>
                </a:solidFill>
              </a:ln>
            </c:spPr>
            <c:trendlineType val="linear"/>
            <c:forward val="0"/>
            <c:backward val="0"/>
            <c:dispRSqr val="0"/>
            <c:dispEq val="1"/>
          </c:trendline>
          <c:xVal>
            <c:numRef>
              <c:f>'Data Graphs Calculations'!$F$13:$F$22</c:f>
              <c:numCache>
                <c:formatCode>0.00</c:formatCode>
                <c:ptCount val="10"/>
                <c:pt idx="0">
                  <c:v>0</c:v>
                </c:pt>
                <c:pt idx="1">
                  <c:v>12.45</c:v>
                </c:pt>
                <c:pt idx="2">
                  <c:v>27.16</c:v>
                </c:pt>
                <c:pt idx="3">
                  <c:v>45.15</c:v>
                </c:pt>
                <c:pt idx="4">
                  <c:v>63.43</c:v>
                </c:pt>
                <c:pt idx="5">
                  <c:v>84.02</c:v>
                </c:pt>
                <c:pt idx="6">
                  <c:v>106.75</c:v>
                </c:pt>
                <c:pt idx="7">
                  <c:v>131.53</c:v>
                </c:pt>
                <c:pt idx="8">
                  <c:v>158.8</c:v>
                </c:pt>
                <c:pt idx="9">
                  <c:v>188.45</c:v>
                </c:pt>
              </c:numCache>
            </c:numRef>
          </c:xVal>
          <c:yVal>
            <c:numRef>
              <c:f>'Data Graphs Calculations'!$H$13:$H$22</c:f>
              <c:numCache>
                <c:formatCode>0.00</c:formatCode>
                <c:ptCount val="10"/>
                <c:pt idx="0">
                  <c:v>2.30358459332713</c:v>
                </c:pt>
                <c:pt idx="1">
                  <c:v>2.2512917986065</c:v>
                </c:pt>
                <c:pt idx="2">
                  <c:v>2.19722457733622</c:v>
                </c:pt>
                <c:pt idx="3">
                  <c:v>2.14006616349627</c:v>
                </c:pt>
                <c:pt idx="4">
                  <c:v>2.07944154167984</c:v>
                </c:pt>
                <c:pt idx="5">
                  <c:v>2.01490302054226</c:v>
                </c:pt>
                <c:pt idx="6">
                  <c:v>1.94591014905531</c:v>
                </c:pt>
                <c:pt idx="7">
                  <c:v>1.87180217690159</c:v>
                </c:pt>
                <c:pt idx="8">
                  <c:v>1.79175946922806</c:v>
                </c:pt>
                <c:pt idx="9">
                  <c:v>1.70474809223843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'Data Graphs Calculations'!$J$9</c:f>
              <c:strCache>
                <c:ptCount val="1"/>
                <c:pt idx="0">
                  <c:v>Capacitor #2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420e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'Data Graphs Calculations'!$L$13:$L$22</c:f>
              <c:numCache>
                <c:formatCode>0.00</c:formatCode>
                <c:ptCount val="10"/>
                <c:pt idx="0">
                  <c:v>0</c:v>
                </c:pt>
                <c:pt idx="1">
                  <c:v>10.3</c:v>
                </c:pt>
                <c:pt idx="2">
                  <c:v>15.03</c:v>
                </c:pt>
                <c:pt idx="3">
                  <c:v>20.32</c:v>
                </c:pt>
                <c:pt idx="4">
                  <c:v>25.99</c:v>
                </c:pt>
                <c:pt idx="5">
                  <c:v>31.9</c:v>
                </c:pt>
                <c:pt idx="6">
                  <c:v>38.75</c:v>
                </c:pt>
                <c:pt idx="7">
                  <c:v>45.9</c:v>
                </c:pt>
                <c:pt idx="8">
                  <c:v>54.03</c:v>
                </c:pt>
                <c:pt idx="9">
                  <c:v>62.3</c:v>
                </c:pt>
              </c:numCache>
            </c:numRef>
          </c:xVal>
          <c:yVal>
            <c:numRef>
              <c:f>'Data Graphs Calculations'!$N$13:$N$22</c:f>
              <c:numCache>
                <c:formatCode>0.00</c:formatCode>
                <c:ptCount val="10"/>
                <c:pt idx="0">
                  <c:v>2.37954613413017</c:v>
                </c:pt>
                <c:pt idx="1">
                  <c:v>2.2512917986065</c:v>
                </c:pt>
                <c:pt idx="2">
                  <c:v>2.19722457733622</c:v>
                </c:pt>
                <c:pt idx="3">
                  <c:v>2.14006616349627</c:v>
                </c:pt>
                <c:pt idx="4">
                  <c:v>2.07944154167984</c:v>
                </c:pt>
                <c:pt idx="5">
                  <c:v>2.01490302054226</c:v>
                </c:pt>
                <c:pt idx="6">
                  <c:v>1.94591014905531</c:v>
                </c:pt>
                <c:pt idx="7">
                  <c:v>1.87180217690159</c:v>
                </c:pt>
                <c:pt idx="8">
                  <c:v>1.79175946922806</c:v>
                </c:pt>
                <c:pt idx="9">
                  <c:v>1.70474809223843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'Data Graphs Calculations'!$P$9</c:f>
              <c:strCache>
                <c:ptCount val="1"/>
                <c:pt idx="0">
                  <c:v>Capacitor #3</c:v>
                </c:pt>
              </c:strCache>
            </c:strRef>
          </c:tx>
          <c:spPr>
            <a:solidFill>
              <a:srgbClr val="ffd320"/>
            </a:solidFill>
            <a:ln w="28800">
              <a:noFill/>
            </a:ln>
          </c:spPr>
          <c:marker>
            <c:symbol val="triangle"/>
            <c:size val="8"/>
            <c:spPr>
              <a:solidFill>
                <a:srgbClr val="ffd32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0">
                <a:solidFill>
                  <a:srgbClr val="ffd320"/>
                </a:solidFill>
              </a:ln>
            </c:spPr>
            <c:trendlineType val="linear"/>
            <c:forward val="0"/>
            <c:backward val="0"/>
            <c:dispRSqr val="0"/>
            <c:dispEq val="0"/>
          </c:trendline>
          <c:xVal>
            <c:numRef>
              <c:f>'Data Graphs Calculations'!$R$13:$R$22</c:f>
              <c:numCache>
                <c:formatCode>0.00</c:formatCode>
                <c:ptCount val="10"/>
                <c:pt idx="0">
                  <c:v>0</c:v>
                </c:pt>
                <c:pt idx="1">
                  <c:v>10.6</c:v>
                </c:pt>
                <c:pt idx="2">
                  <c:v>20.88</c:v>
                </c:pt>
                <c:pt idx="3">
                  <c:v>33.36</c:v>
                </c:pt>
                <c:pt idx="4">
                  <c:v>46.91</c:v>
                </c:pt>
                <c:pt idx="5">
                  <c:v>62.05</c:v>
                </c:pt>
                <c:pt idx="6">
                  <c:v>78.07</c:v>
                </c:pt>
                <c:pt idx="7">
                  <c:v>95.56</c:v>
                </c:pt>
                <c:pt idx="8">
                  <c:v>114.86</c:v>
                </c:pt>
                <c:pt idx="9">
                  <c:v>135.8</c:v>
                </c:pt>
              </c:numCache>
            </c:numRef>
          </c:xVal>
          <c:yVal>
            <c:numRef>
              <c:f>'Data Graphs Calculations'!$T$13:$T$22</c:f>
              <c:numCache>
                <c:formatCode>0.00</c:formatCode>
                <c:ptCount val="10"/>
                <c:pt idx="0">
                  <c:v>2.30358459332713</c:v>
                </c:pt>
                <c:pt idx="1">
                  <c:v>2.25023861262184</c:v>
                </c:pt>
                <c:pt idx="2">
                  <c:v>2.19722457733622</c:v>
                </c:pt>
                <c:pt idx="3">
                  <c:v>2.14006616349627</c:v>
                </c:pt>
                <c:pt idx="4">
                  <c:v>2.07944154167984</c:v>
                </c:pt>
                <c:pt idx="5">
                  <c:v>2.01356879752913</c:v>
                </c:pt>
                <c:pt idx="6">
                  <c:v>1.94591014905531</c:v>
                </c:pt>
                <c:pt idx="7">
                  <c:v>1.87180217690159</c:v>
                </c:pt>
                <c:pt idx="8">
                  <c:v>1.79175946922806</c:v>
                </c:pt>
                <c:pt idx="9">
                  <c:v>1.70474809223843</c:v>
                </c:pt>
              </c:numCache>
            </c:numRef>
          </c:yVal>
          <c:smooth val="0"/>
        </c:ser>
        <c:axId val="13781926"/>
        <c:axId val="59106945"/>
      </c:scatterChart>
      <c:valAx>
        <c:axId val="13781926"/>
        <c:scaling>
          <c:orientation val="minMax"/>
        </c:scaling>
        <c:delete val="0"/>
        <c:axPos val="b"/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59106945"/>
        <c:crosses val="autoZero"/>
        <c:crossBetween val="between"/>
      </c:valAx>
      <c:valAx>
        <c:axId val="5910694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u="none" strike="noStrike">
                <a:uFillTx/>
                <a:latin typeface="Arial"/>
              </a:defRPr>
            </a:pPr>
          </a:p>
        </c:txPr>
        <c:crossAx val="13781926"/>
        <c:crosses val="autoZero"/>
        <c:crossBetween val="between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21</xdr:col>
      <xdr:colOff>103680</xdr:colOff>
      <xdr:row>10</xdr:row>
      <xdr:rowOff>1080</xdr:rowOff>
    </xdr:from>
    <xdr:to>
      <xdr:col>29</xdr:col>
      <xdr:colOff>521640</xdr:colOff>
      <xdr:row>22</xdr:row>
      <xdr:rowOff>97560</xdr:rowOff>
    </xdr:to>
    <xdr:graphicFrame>
      <xdr:nvGraphicFramePr>
        <xdr:cNvPr id="1" name=""/>
        <xdr:cNvGraphicFramePr/>
      </xdr:nvGraphicFramePr>
      <xdr:xfrm>
        <a:off x="9546120" y="27633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AE75"/>
  <sheetViews>
    <sheetView showFormulas="false" showGridLines="true" showRowColHeaders="true" showZeros="true" rightToLeft="false" tabSelected="true" showOutlineSymbols="true" defaultGridColor="true" view="normal" topLeftCell="K25" colorId="64" zoomScale="98" zoomScaleNormal="98" zoomScalePageLayoutView="100" workbookViewId="0">
      <selection pane="topLeft" activeCell="R49" activeCellId="0" sqref="R4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.42"/>
    <col collapsed="false" customWidth="true" hidden="false" outlineLevel="0" max="2" min="2" style="0" width="3.42"/>
    <col collapsed="false" customWidth="true" hidden="false" outlineLevel="0" max="3" min="3" style="0" width="2.71"/>
    <col collapsed="false" customWidth="true" hidden="false" outlineLevel="0" max="4" min="4" style="0" width="11"/>
    <col collapsed="false" customWidth="true" hidden="false" outlineLevel="0" max="5" min="5" style="0" width="2.71"/>
    <col collapsed="false" customWidth="true" hidden="false" outlineLevel="0" max="6" min="6" style="0" width="11"/>
    <col collapsed="false" customWidth="true" hidden="false" outlineLevel="0" max="7" min="7" style="0" width="2.71"/>
    <col collapsed="false" customWidth="true" hidden="false" outlineLevel="0" max="8" min="8" style="0" width="11"/>
    <col collapsed="false" customWidth="true" hidden="false" outlineLevel="0" max="9" min="9" style="0" width="2.71"/>
    <col collapsed="false" customWidth="true" hidden="false" outlineLevel="0" max="10" min="10" style="0" width="11"/>
    <col collapsed="false" customWidth="true" hidden="false" outlineLevel="0" max="11" min="11" style="0" width="2.71"/>
    <col collapsed="false" customWidth="true" hidden="false" outlineLevel="0" max="12" min="12" style="0" width="11"/>
    <col collapsed="false" customWidth="true" hidden="false" outlineLevel="0" max="13" min="13" style="0" width="2.71"/>
    <col collapsed="false" customWidth="true" hidden="false" outlineLevel="0" max="14" min="14" style="0" width="11"/>
    <col collapsed="false" customWidth="true" hidden="false" outlineLevel="0" max="15" min="15" style="0" width="2.71"/>
    <col collapsed="false" customWidth="true" hidden="false" outlineLevel="0" max="16" min="16" style="0" width="11"/>
    <col collapsed="false" customWidth="true" hidden="false" outlineLevel="0" max="17" min="17" style="0" width="2.71"/>
    <col collapsed="false" customWidth="true" hidden="false" outlineLevel="0" max="18" min="18" style="0" width="11"/>
    <col collapsed="false" customWidth="true" hidden="false" outlineLevel="0" max="19" min="19" style="0" width="2.71"/>
    <col collapsed="false" customWidth="true" hidden="false" outlineLevel="0" max="20" min="20" style="0" width="11"/>
    <col collapsed="false" customWidth="true" hidden="false" outlineLevel="0" max="21" min="21" style="0" width="2.71"/>
    <col collapsed="false" customWidth="true" hidden="false" outlineLevel="0" max="22" min="22" style="0" width="4.42"/>
    <col collapsed="false" customWidth="true" hidden="false" outlineLevel="0" max="24" min="24" style="0" width="4.42"/>
    <col collapsed="false" customWidth="true" hidden="false" outlineLevel="0" max="25" min="25" style="0" width="12.42"/>
    <col collapsed="false" customWidth="true" hidden="false" outlineLevel="0" max="26" min="26" style="0" width="4.42"/>
    <col collapsed="false" customWidth="true" hidden="false" outlineLevel="0" max="27" min="27" style="0" width="27.42"/>
    <col collapsed="false" customWidth="true" hidden="false" outlineLevel="0" max="28" min="28" style="0" width="4.42"/>
    <col collapsed="false" customWidth="true" hidden="false" outlineLevel="0" max="29" min="29" style="0" width="9.57"/>
    <col collapsed="false" customWidth="true" hidden="false" outlineLevel="0" max="30" min="30" style="0" width="7.71"/>
    <col collapsed="false" customWidth="true" hidden="false" outlineLevel="0" max="31" min="31" style="0" width="4.42"/>
    <col collapsed="false" customWidth="true" hidden="false" outlineLevel="0" max="34" min="34" style="0" width="4.42"/>
  </cols>
  <sheetData>
    <row r="2" customFormat="false" ht="27.75" hidden="false" customHeight="true" outlineLevel="0" collapsed="false">
      <c r="C2" s="1"/>
      <c r="D2" s="2" t="s">
        <v>0</v>
      </c>
      <c r="E2" s="3" t="s">
        <v>1</v>
      </c>
      <c r="F2" s="3"/>
      <c r="G2" s="3"/>
      <c r="H2" s="3"/>
      <c r="I2" s="3"/>
      <c r="J2" s="3"/>
      <c r="K2" s="3"/>
      <c r="L2" s="3"/>
      <c r="M2" s="4"/>
      <c r="N2" s="4"/>
    </row>
    <row r="3" customFormat="false" ht="27.75" hidden="false" customHeight="true" outlineLevel="0" collapsed="false">
      <c r="C3" s="5"/>
      <c r="D3" s="6" t="s">
        <v>2</v>
      </c>
      <c r="E3" s="7" t="s">
        <v>3</v>
      </c>
      <c r="F3" s="7"/>
      <c r="G3" s="7"/>
      <c r="H3" s="7"/>
      <c r="I3" s="7"/>
      <c r="J3" s="7"/>
      <c r="K3" s="7"/>
      <c r="L3" s="7"/>
      <c r="M3" s="4"/>
      <c r="N3" s="4"/>
    </row>
    <row r="4" customFormat="false" ht="27.75" hidden="false" customHeight="true" outlineLevel="0" collapsed="false">
      <c r="C4" s="8"/>
      <c r="D4" s="9" t="s">
        <v>4</v>
      </c>
      <c r="E4" s="10" t="s">
        <v>5</v>
      </c>
      <c r="F4" s="10"/>
      <c r="G4" s="10"/>
      <c r="H4" s="10"/>
      <c r="I4" s="11"/>
      <c r="J4" s="12" t="s">
        <v>6</v>
      </c>
      <c r="K4" s="13" t="s">
        <v>7</v>
      </c>
      <c r="L4" s="13"/>
      <c r="M4" s="4"/>
      <c r="N4" s="4"/>
    </row>
    <row r="5" customFormat="false" ht="21.75" hidden="false" customHeight="true" outlineLevel="0" collapsed="false"/>
    <row r="6" customFormat="false" ht="12" hidden="false" customHeight="true" outlineLevel="0" collapsed="false">
      <c r="B6" s="14"/>
      <c r="C6" s="15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7"/>
    </row>
    <row r="7" customFormat="false" ht="29.25" hidden="false" customHeight="true" outlineLevel="0" collapsed="false">
      <c r="B7" s="14"/>
      <c r="C7" s="18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20"/>
    </row>
    <row r="8" customFormat="false" ht="11.25" hidden="false" customHeight="true" outlineLevel="0" collapsed="false">
      <c r="B8" s="14"/>
      <c r="C8" s="18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20"/>
    </row>
    <row r="9" customFormat="false" ht="20.25" hidden="false" customHeight="true" outlineLevel="0" collapsed="false">
      <c r="B9" s="14"/>
      <c r="C9" s="18"/>
      <c r="D9" s="21" t="s">
        <v>8</v>
      </c>
      <c r="E9" s="21"/>
      <c r="F9" s="21"/>
      <c r="G9" s="21"/>
      <c r="H9" s="21"/>
      <c r="I9" s="14"/>
      <c r="J9" s="21" t="s">
        <v>9</v>
      </c>
      <c r="K9" s="21"/>
      <c r="L9" s="21"/>
      <c r="M9" s="21"/>
      <c r="N9" s="21"/>
      <c r="O9" s="14"/>
      <c r="P9" s="21" t="s">
        <v>10</v>
      </c>
      <c r="Q9" s="21"/>
      <c r="R9" s="21"/>
      <c r="S9" s="21"/>
      <c r="T9" s="21"/>
      <c r="U9" s="20"/>
    </row>
    <row r="10" customFormat="false" ht="24.75" hidden="false" customHeight="true" outlineLevel="0" collapsed="false">
      <c r="B10" s="14"/>
      <c r="C10" s="18"/>
      <c r="D10" s="22" t="s">
        <v>11</v>
      </c>
      <c r="E10" s="22"/>
      <c r="F10" s="22"/>
      <c r="G10" s="22"/>
      <c r="H10" s="22"/>
      <c r="I10" s="6"/>
      <c r="J10" s="22" t="s">
        <v>12</v>
      </c>
      <c r="K10" s="22"/>
      <c r="L10" s="22"/>
      <c r="M10" s="22"/>
      <c r="N10" s="22"/>
      <c r="O10" s="6"/>
      <c r="P10" s="22" t="s">
        <v>13</v>
      </c>
      <c r="Q10" s="22"/>
      <c r="R10" s="22"/>
      <c r="S10" s="22"/>
      <c r="T10" s="22"/>
      <c r="U10" s="20"/>
    </row>
    <row r="11" customFormat="false" ht="12" hidden="false" customHeight="true" outlineLevel="0" collapsed="false">
      <c r="B11" s="14"/>
      <c r="C11" s="18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20"/>
    </row>
    <row r="12" customFormat="false" ht="23.25" hidden="false" customHeight="true" outlineLevel="0" collapsed="false">
      <c r="B12" s="23"/>
      <c r="C12" s="24"/>
      <c r="D12" s="25" t="s">
        <v>14</v>
      </c>
      <c r="E12" s="14"/>
      <c r="F12" s="25" t="s">
        <v>15</v>
      </c>
      <c r="G12" s="14"/>
      <c r="H12" s="25" t="s">
        <v>16</v>
      </c>
      <c r="I12" s="23"/>
      <c r="J12" s="25" t="s">
        <v>14</v>
      </c>
      <c r="K12" s="14"/>
      <c r="L12" s="25" t="s">
        <v>15</v>
      </c>
      <c r="M12" s="14"/>
      <c r="N12" s="25" t="s">
        <v>16</v>
      </c>
      <c r="O12" s="14"/>
      <c r="P12" s="25" t="s">
        <v>14</v>
      </c>
      <c r="Q12" s="14"/>
      <c r="R12" s="25" t="s">
        <v>15</v>
      </c>
      <c r="S12" s="14"/>
      <c r="T12" s="25" t="s">
        <v>16</v>
      </c>
      <c r="U12" s="20"/>
    </row>
    <row r="13" customFormat="false" ht="23.25" hidden="false" customHeight="true" outlineLevel="0" collapsed="false">
      <c r="B13" s="23"/>
      <c r="C13" s="24"/>
      <c r="D13" s="26" t="n">
        <v>10.01</v>
      </c>
      <c r="E13" s="27"/>
      <c r="F13" s="28" t="n">
        <v>0</v>
      </c>
      <c r="G13" s="23"/>
      <c r="H13" s="28" t="n">
        <f aca="false">LN(D13)</f>
        <v>2.30358459332713</v>
      </c>
      <c r="I13" s="23"/>
      <c r="J13" s="29" t="n">
        <v>10.8</v>
      </c>
      <c r="K13" s="27"/>
      <c r="L13" s="28" t="n">
        <v>0</v>
      </c>
      <c r="M13" s="23"/>
      <c r="N13" s="28" t="n">
        <f aca="false">LN(J13)</f>
        <v>2.37954613413017</v>
      </c>
      <c r="O13" s="14"/>
      <c r="P13" s="26" t="n">
        <v>10.01</v>
      </c>
      <c r="Q13" s="27"/>
      <c r="R13" s="28" t="n">
        <v>0</v>
      </c>
      <c r="S13" s="23"/>
      <c r="T13" s="28" t="n">
        <f aca="false">LN(P13)</f>
        <v>2.30358459332713</v>
      </c>
      <c r="U13" s="20"/>
    </row>
    <row r="14" customFormat="false" ht="21" hidden="false" customHeight="true" outlineLevel="0" collapsed="false">
      <c r="B14" s="23"/>
      <c r="C14" s="24"/>
      <c r="D14" s="26" t="n">
        <v>9.5</v>
      </c>
      <c r="E14" s="27"/>
      <c r="F14" s="28" t="n">
        <v>12.45</v>
      </c>
      <c r="G14" s="23"/>
      <c r="H14" s="28" t="n">
        <f aca="false">LN(D14)</f>
        <v>2.2512917986065</v>
      </c>
      <c r="I14" s="23"/>
      <c r="J14" s="26" t="n">
        <v>9.5</v>
      </c>
      <c r="K14" s="27"/>
      <c r="L14" s="28" t="n">
        <v>10.3</v>
      </c>
      <c r="M14" s="23"/>
      <c r="N14" s="28" t="n">
        <f aca="false">LN(J14)</f>
        <v>2.2512917986065</v>
      </c>
      <c r="O14" s="14"/>
      <c r="P14" s="26" t="n">
        <v>9.49</v>
      </c>
      <c r="Q14" s="27"/>
      <c r="R14" s="28" t="n">
        <f aca="false">10.6</f>
        <v>10.6</v>
      </c>
      <c r="S14" s="23"/>
      <c r="T14" s="28" t="n">
        <f aca="false">LN(P14)</f>
        <v>2.25023861262184</v>
      </c>
      <c r="U14" s="20"/>
    </row>
    <row r="15" customFormat="false" ht="21" hidden="false" customHeight="true" outlineLevel="0" collapsed="false">
      <c r="B15" s="30"/>
      <c r="C15" s="31"/>
      <c r="D15" s="26" t="n">
        <v>9</v>
      </c>
      <c r="E15" s="27"/>
      <c r="F15" s="28" t="n">
        <v>27.16</v>
      </c>
      <c r="G15" s="30"/>
      <c r="H15" s="28" t="n">
        <f aca="false">LN(D15)</f>
        <v>2.19722457733622</v>
      </c>
      <c r="I15" s="30"/>
      <c r="J15" s="26" t="n">
        <v>9</v>
      </c>
      <c r="K15" s="27"/>
      <c r="L15" s="28" t="n">
        <f aca="false">15.03</f>
        <v>15.03</v>
      </c>
      <c r="M15" s="30"/>
      <c r="N15" s="28" t="n">
        <f aca="false">LN(J15)</f>
        <v>2.19722457733622</v>
      </c>
      <c r="O15" s="14"/>
      <c r="P15" s="26" t="n">
        <v>9</v>
      </c>
      <c r="Q15" s="27"/>
      <c r="R15" s="28" t="n">
        <f aca="false">20.88</f>
        <v>20.88</v>
      </c>
      <c r="S15" s="30"/>
      <c r="T15" s="28" t="n">
        <f aca="false">LN(P15)</f>
        <v>2.19722457733622</v>
      </c>
      <c r="U15" s="20"/>
    </row>
    <row r="16" customFormat="false" ht="21" hidden="false" customHeight="true" outlineLevel="0" collapsed="false">
      <c r="B16" s="14"/>
      <c r="C16" s="18"/>
      <c r="D16" s="32" t="n">
        <v>8.5</v>
      </c>
      <c r="E16" s="14"/>
      <c r="F16" s="33" t="n">
        <v>45.15</v>
      </c>
      <c r="G16" s="14"/>
      <c r="H16" s="28" t="n">
        <f aca="false">LN(D16)</f>
        <v>2.14006616349627</v>
      </c>
      <c r="I16" s="14"/>
      <c r="J16" s="32" t="n">
        <v>8.5</v>
      </c>
      <c r="K16" s="14"/>
      <c r="L16" s="33" t="n">
        <f aca="false">20.32</f>
        <v>20.32</v>
      </c>
      <c r="M16" s="14"/>
      <c r="N16" s="28" t="n">
        <f aca="false">LN(J16)</f>
        <v>2.14006616349627</v>
      </c>
      <c r="O16" s="14"/>
      <c r="P16" s="32" t="n">
        <v>8.5</v>
      </c>
      <c r="Q16" s="14"/>
      <c r="R16" s="33" t="n">
        <f aca="false">33.36</f>
        <v>33.36</v>
      </c>
      <c r="S16" s="14"/>
      <c r="T16" s="28" t="n">
        <f aca="false">LN(P16)</f>
        <v>2.14006616349627</v>
      </c>
      <c r="U16" s="20"/>
    </row>
    <row r="17" customFormat="false" ht="21" hidden="false" customHeight="true" outlineLevel="0" collapsed="false">
      <c r="B17" s="14"/>
      <c r="C17" s="18"/>
      <c r="D17" s="32" t="n">
        <v>8</v>
      </c>
      <c r="E17" s="14"/>
      <c r="F17" s="33" t="n">
        <v>63.43</v>
      </c>
      <c r="G17" s="14"/>
      <c r="H17" s="28" t="n">
        <f aca="false">LN(D17)</f>
        <v>2.07944154167984</v>
      </c>
      <c r="I17" s="14"/>
      <c r="J17" s="32" t="n">
        <v>8</v>
      </c>
      <c r="K17" s="14"/>
      <c r="L17" s="33" t="n">
        <f aca="false">25.99</f>
        <v>25.99</v>
      </c>
      <c r="M17" s="14"/>
      <c r="N17" s="28" t="n">
        <f aca="false">LN(J17)</f>
        <v>2.07944154167984</v>
      </c>
      <c r="O17" s="14"/>
      <c r="P17" s="32" t="n">
        <v>8</v>
      </c>
      <c r="Q17" s="14"/>
      <c r="R17" s="33" t="n">
        <f aca="false">46.91</f>
        <v>46.91</v>
      </c>
      <c r="S17" s="14"/>
      <c r="T17" s="28" t="n">
        <f aca="false">LN(P17)</f>
        <v>2.07944154167984</v>
      </c>
      <c r="U17" s="20"/>
    </row>
    <row r="18" customFormat="false" ht="21" hidden="false" customHeight="true" outlineLevel="0" collapsed="false">
      <c r="B18" s="14"/>
      <c r="C18" s="18"/>
      <c r="D18" s="32" t="n">
        <v>7.5</v>
      </c>
      <c r="E18" s="14"/>
      <c r="F18" s="33" t="n">
        <v>84.02</v>
      </c>
      <c r="G18" s="14"/>
      <c r="H18" s="28" t="n">
        <f aca="false">LN(D18)</f>
        <v>2.01490302054226</v>
      </c>
      <c r="I18" s="14"/>
      <c r="J18" s="32" t="n">
        <v>7.5</v>
      </c>
      <c r="K18" s="14"/>
      <c r="L18" s="33" t="n">
        <f aca="false">31.9</f>
        <v>31.9</v>
      </c>
      <c r="M18" s="14"/>
      <c r="N18" s="28" t="n">
        <f aca="false">LN(J18)</f>
        <v>2.01490302054226</v>
      </c>
      <c r="O18" s="14"/>
      <c r="P18" s="32" t="n">
        <v>7.49</v>
      </c>
      <c r="Q18" s="14"/>
      <c r="R18" s="33" t="n">
        <f aca="false">62.05</f>
        <v>62.05</v>
      </c>
      <c r="S18" s="14"/>
      <c r="T18" s="28" t="n">
        <f aca="false">LN(P18)</f>
        <v>2.01356879752913</v>
      </c>
      <c r="U18" s="20"/>
    </row>
    <row r="19" customFormat="false" ht="21" hidden="false" customHeight="true" outlineLevel="0" collapsed="false">
      <c r="B19" s="14"/>
      <c r="C19" s="18"/>
      <c r="D19" s="32" t="n">
        <v>7</v>
      </c>
      <c r="E19" s="14"/>
      <c r="F19" s="33" t="n">
        <v>106.75</v>
      </c>
      <c r="G19" s="14"/>
      <c r="H19" s="28" t="n">
        <f aca="false">LN(D19)</f>
        <v>1.94591014905531</v>
      </c>
      <c r="I19" s="14"/>
      <c r="J19" s="32" t="n">
        <v>7</v>
      </c>
      <c r="K19" s="14"/>
      <c r="L19" s="33" t="n">
        <f aca="false">38.75</f>
        <v>38.75</v>
      </c>
      <c r="M19" s="14"/>
      <c r="N19" s="28" t="n">
        <f aca="false">LN(J19)</f>
        <v>1.94591014905531</v>
      </c>
      <c r="O19" s="14"/>
      <c r="P19" s="32" t="n">
        <v>7</v>
      </c>
      <c r="Q19" s="14"/>
      <c r="R19" s="33" t="n">
        <f aca="false">78.07</f>
        <v>78.07</v>
      </c>
      <c r="S19" s="14"/>
      <c r="T19" s="28" t="n">
        <f aca="false">LN(P19)</f>
        <v>1.94591014905531</v>
      </c>
      <c r="U19" s="20"/>
    </row>
    <row r="20" customFormat="false" ht="21" hidden="false" customHeight="true" outlineLevel="0" collapsed="false">
      <c r="B20" s="14"/>
      <c r="C20" s="18"/>
      <c r="D20" s="32" t="n">
        <v>6.5</v>
      </c>
      <c r="E20" s="14"/>
      <c r="F20" s="33" t="n">
        <v>131.53</v>
      </c>
      <c r="G20" s="14"/>
      <c r="H20" s="28" t="n">
        <f aca="false">LN(D20)</f>
        <v>1.87180217690159</v>
      </c>
      <c r="I20" s="14"/>
      <c r="J20" s="32" t="n">
        <v>6.5</v>
      </c>
      <c r="K20" s="14"/>
      <c r="L20" s="33" t="n">
        <f aca="false">45.9</f>
        <v>45.9</v>
      </c>
      <c r="M20" s="14"/>
      <c r="N20" s="28" t="n">
        <f aca="false">LN(J20)</f>
        <v>1.87180217690159</v>
      </c>
      <c r="O20" s="14"/>
      <c r="P20" s="32" t="n">
        <v>6.5</v>
      </c>
      <c r="Q20" s="14"/>
      <c r="R20" s="33" t="n">
        <f aca="false">95.56</f>
        <v>95.56</v>
      </c>
      <c r="S20" s="14"/>
      <c r="T20" s="28" t="n">
        <f aca="false">LN(P20)</f>
        <v>1.87180217690159</v>
      </c>
      <c r="U20" s="20"/>
    </row>
    <row r="21" customFormat="false" ht="21" hidden="false" customHeight="true" outlineLevel="0" collapsed="false">
      <c r="B21" s="14"/>
      <c r="C21" s="18"/>
      <c r="D21" s="32" t="n">
        <v>6</v>
      </c>
      <c r="E21" s="14"/>
      <c r="F21" s="33" t="n">
        <v>158.8</v>
      </c>
      <c r="G21" s="14"/>
      <c r="H21" s="28" t="n">
        <f aca="false">LN(D21)</f>
        <v>1.79175946922806</v>
      </c>
      <c r="I21" s="14"/>
      <c r="J21" s="32" t="n">
        <v>6</v>
      </c>
      <c r="K21" s="14"/>
      <c r="L21" s="33" t="n">
        <f aca="false">54.03</f>
        <v>54.03</v>
      </c>
      <c r="M21" s="14"/>
      <c r="N21" s="28" t="n">
        <f aca="false">LN(J21)</f>
        <v>1.79175946922806</v>
      </c>
      <c r="O21" s="14"/>
      <c r="P21" s="32" t="n">
        <v>6</v>
      </c>
      <c r="Q21" s="14"/>
      <c r="R21" s="33" t="n">
        <v>114.86</v>
      </c>
      <c r="S21" s="14"/>
      <c r="T21" s="28" t="n">
        <f aca="false">LN(P21)</f>
        <v>1.79175946922806</v>
      </c>
      <c r="U21" s="20"/>
    </row>
    <row r="22" customFormat="false" ht="21" hidden="false" customHeight="true" outlineLevel="0" collapsed="false">
      <c r="B22" s="14"/>
      <c r="C22" s="18"/>
      <c r="D22" s="32" t="n">
        <v>5.5</v>
      </c>
      <c r="E22" s="14"/>
      <c r="F22" s="33" t="n">
        <f aca="false">3*60+8.45</f>
        <v>188.45</v>
      </c>
      <c r="G22" s="14"/>
      <c r="H22" s="28" t="n">
        <f aca="false">LN(D22)</f>
        <v>1.70474809223843</v>
      </c>
      <c r="I22" s="14"/>
      <c r="J22" s="32" t="n">
        <v>5.5</v>
      </c>
      <c r="K22" s="14"/>
      <c r="L22" s="33" t="n">
        <f aca="false">60+2.3</f>
        <v>62.3</v>
      </c>
      <c r="M22" s="14"/>
      <c r="N22" s="28" t="n">
        <f aca="false">LN(J22)</f>
        <v>1.70474809223843</v>
      </c>
      <c r="O22" s="14"/>
      <c r="P22" s="32" t="n">
        <v>5.5</v>
      </c>
      <c r="Q22" s="14"/>
      <c r="R22" s="33" t="n">
        <f aca="false">2*60+15.8</f>
        <v>135.8</v>
      </c>
      <c r="S22" s="14"/>
      <c r="T22" s="28" t="n">
        <f aca="false">LN(P22)</f>
        <v>1.70474809223843</v>
      </c>
      <c r="U22" s="20"/>
    </row>
    <row r="23" customFormat="false" ht="12" hidden="false" customHeight="true" outlineLevel="0" collapsed="false">
      <c r="B23" s="14"/>
      <c r="C23" s="3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35"/>
    </row>
    <row r="25" customFormat="false" ht="9.75" hidden="false" customHeight="true" outlineLevel="0" collapsed="false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/>
      <c r="W25" s="16"/>
      <c r="X25" s="16"/>
      <c r="Y25" s="16"/>
      <c r="Z25" s="16"/>
      <c r="AA25" s="16"/>
      <c r="AB25" s="16"/>
      <c r="AC25" s="16"/>
      <c r="AD25" s="16"/>
      <c r="AE25" s="17"/>
    </row>
    <row r="26" customFormat="false" ht="23.25" hidden="false" customHeight="true" outlineLevel="0" collapsed="false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8"/>
      <c r="W26" s="36" t="s">
        <v>17</v>
      </c>
      <c r="X26" s="36"/>
      <c r="Y26" s="36"/>
      <c r="Z26" s="36"/>
      <c r="AA26" s="36"/>
      <c r="AB26" s="37"/>
      <c r="AC26" s="14"/>
      <c r="AD26" s="14"/>
      <c r="AE26" s="20"/>
    </row>
    <row r="27" customFormat="false" ht="9.75" hidden="false" customHeight="true" outlineLevel="0" collapsed="false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8"/>
      <c r="W27" s="37"/>
      <c r="X27" s="37"/>
      <c r="Y27" s="37"/>
      <c r="Z27" s="37"/>
      <c r="AA27" s="37"/>
      <c r="AB27" s="37"/>
      <c r="AC27" s="14"/>
      <c r="AD27" s="14"/>
      <c r="AE27" s="20"/>
    </row>
    <row r="28" customFormat="false" ht="15" hidden="false" customHeight="false" outlineLevel="0" collapsed="false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8"/>
      <c r="W28" s="38" t="s">
        <v>18</v>
      </c>
      <c r="X28" s="38"/>
      <c r="Y28" s="38"/>
      <c r="Z28" s="38"/>
      <c r="AA28" s="38"/>
      <c r="AB28" s="37"/>
      <c r="AC28" s="14"/>
      <c r="AD28" s="14"/>
      <c r="AE28" s="20"/>
    </row>
    <row r="29" customFormat="false" ht="9.75" hidden="false" customHeight="true" outlineLevel="0" collapsed="false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8"/>
      <c r="W29" s="14"/>
      <c r="X29" s="14"/>
      <c r="Y29" s="14"/>
      <c r="Z29" s="14"/>
      <c r="AA29" s="14"/>
      <c r="AB29" s="14"/>
      <c r="AC29" s="14"/>
      <c r="AD29" s="14"/>
      <c r="AE29" s="20"/>
    </row>
    <row r="30" customFormat="false" ht="22.5" hidden="false" customHeight="true" outlineLevel="0" collapsed="false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8"/>
      <c r="W30" s="39" t="s">
        <v>19</v>
      </c>
      <c r="X30" s="40"/>
      <c r="Y30" s="40"/>
      <c r="Z30" s="40"/>
      <c r="AA30" s="40"/>
      <c r="AB30" s="40"/>
      <c r="AC30" s="40"/>
      <c r="AD30" s="41"/>
      <c r="AE30" s="20"/>
    </row>
    <row r="31" customFormat="false" ht="21.75" hidden="false" customHeight="true" outlineLevel="0" collapsed="false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8"/>
      <c r="W31" s="42" t="s">
        <v>20</v>
      </c>
      <c r="X31" s="42" t="s">
        <v>21</v>
      </c>
      <c r="Y31" s="43" t="n">
        <v>-1</v>
      </c>
      <c r="Z31" s="42" t="s">
        <v>21</v>
      </c>
      <c r="AA31" s="43" t="n">
        <v>-1</v>
      </c>
      <c r="AB31" s="42" t="s">
        <v>21</v>
      </c>
      <c r="AC31" s="44"/>
      <c r="AD31" s="45" t="s">
        <v>22</v>
      </c>
      <c r="AE31" s="20"/>
    </row>
    <row r="32" customFormat="false" ht="21.75" hidden="false" customHeight="true" outlineLevel="0" collapsed="false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8"/>
      <c r="W32" s="42"/>
      <c r="X32" s="42"/>
      <c r="Y32" s="46" t="s">
        <v>23</v>
      </c>
      <c r="Z32" s="42"/>
      <c r="AA32" s="46" t="s">
        <v>24</v>
      </c>
      <c r="AB32" s="42"/>
      <c r="AC32" s="44"/>
      <c r="AD32" s="45"/>
      <c r="AE32" s="20"/>
    </row>
    <row r="33" customFormat="false" ht="12.75" hidden="false" customHeight="true" outlineLevel="0" collapsed="false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8"/>
      <c r="W33" s="46"/>
      <c r="X33" s="46"/>
      <c r="Y33" s="46"/>
      <c r="Z33" s="46"/>
      <c r="AA33" s="46"/>
      <c r="AB33" s="46"/>
      <c r="AC33" s="46"/>
      <c r="AD33" s="46"/>
      <c r="AE33" s="20"/>
    </row>
    <row r="34" customFormat="false" ht="22.5" hidden="false" customHeight="true" outlineLevel="0" collapsed="false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8"/>
      <c r="W34" s="39" t="s">
        <v>25</v>
      </c>
      <c r="X34" s="40"/>
      <c r="Y34" s="40"/>
      <c r="Z34" s="40"/>
      <c r="AA34" s="40"/>
      <c r="AB34" s="40"/>
      <c r="AC34" s="40"/>
      <c r="AD34" s="41"/>
      <c r="AE34" s="20"/>
    </row>
    <row r="35" customFormat="false" ht="21.75" hidden="false" customHeight="true" outlineLevel="0" collapsed="false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8"/>
      <c r="W35" s="42"/>
      <c r="X35" s="42"/>
      <c r="Y35" s="46"/>
      <c r="Z35" s="42"/>
      <c r="AA35" s="46"/>
      <c r="AB35" s="42"/>
      <c r="AC35" s="44"/>
      <c r="AD35" s="42"/>
      <c r="AE35" s="20"/>
    </row>
    <row r="36" customFormat="false" ht="21.75" hidden="false" customHeight="true" outlineLevel="0" collapsed="false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8"/>
      <c r="W36" s="42"/>
      <c r="X36" s="42"/>
      <c r="Y36" s="46"/>
      <c r="Z36" s="42"/>
      <c r="AA36" s="46"/>
      <c r="AB36" s="42"/>
      <c r="AC36" s="44"/>
      <c r="AD36" s="42"/>
      <c r="AE36" s="20"/>
    </row>
    <row r="37" customFormat="false" ht="12.75" hidden="false" customHeight="true" outlineLevel="0" collapsed="false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8"/>
      <c r="W37" s="46"/>
      <c r="X37" s="46"/>
      <c r="Y37" s="46"/>
      <c r="Z37" s="46"/>
      <c r="AA37" s="46"/>
      <c r="AB37" s="46"/>
      <c r="AC37" s="46"/>
      <c r="AD37" s="46"/>
      <c r="AE37" s="20"/>
    </row>
    <row r="38" customFormat="false" ht="22.5" hidden="false" customHeight="true" outlineLevel="0" collapsed="false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8"/>
      <c r="W38" s="39" t="s">
        <v>26</v>
      </c>
      <c r="X38" s="40"/>
      <c r="Y38" s="40"/>
      <c r="Z38" s="40"/>
      <c r="AA38" s="40"/>
      <c r="AB38" s="40"/>
      <c r="AC38" s="40"/>
      <c r="AD38" s="41"/>
      <c r="AE38" s="20"/>
    </row>
    <row r="39" customFormat="false" ht="21.75" hidden="false" customHeight="true" outlineLevel="0" collapsed="false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8"/>
      <c r="W39" s="42"/>
      <c r="X39" s="42"/>
      <c r="Y39" s="46"/>
      <c r="Z39" s="42"/>
      <c r="AA39" s="46"/>
      <c r="AB39" s="42"/>
      <c r="AC39" s="44"/>
      <c r="AD39" s="42"/>
      <c r="AE39" s="20"/>
    </row>
    <row r="40" customFormat="false" ht="21.75" hidden="false" customHeight="true" outlineLevel="0" collapsed="false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8"/>
      <c r="W40" s="42"/>
      <c r="X40" s="42"/>
      <c r="Y40" s="46"/>
      <c r="Z40" s="42"/>
      <c r="AA40" s="46"/>
      <c r="AB40" s="42"/>
      <c r="AC40" s="44"/>
      <c r="AD40" s="42"/>
      <c r="AE40" s="20"/>
    </row>
    <row r="41" customFormat="false" ht="9.75" hidden="false" customHeight="true" outlineLevel="0" collapsed="false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34"/>
      <c r="W41" s="25"/>
      <c r="X41" s="25"/>
      <c r="Y41" s="25"/>
      <c r="Z41" s="25"/>
      <c r="AA41" s="25"/>
      <c r="AB41" s="25"/>
      <c r="AC41" s="25"/>
      <c r="AD41" s="43"/>
      <c r="AE41" s="35"/>
    </row>
    <row r="42" customFormat="false" ht="15" hidden="false" customHeight="false" outlineLevel="0" collapsed="false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</row>
    <row r="44" customFormat="false" ht="12" hidden="false" customHeight="true" outlineLevel="0" collapsed="false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5"/>
      <c r="P44" s="16"/>
      <c r="Q44" s="16"/>
      <c r="R44" s="16"/>
      <c r="S44" s="16"/>
      <c r="T44" s="16"/>
      <c r="U44" s="17"/>
    </row>
    <row r="45" customFormat="false" ht="24.75" hidden="false" customHeight="true" outlineLevel="0" collapsed="false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8"/>
      <c r="P45" s="14"/>
      <c r="Q45" s="14"/>
      <c r="R45" s="14"/>
      <c r="S45" s="14"/>
      <c r="T45" s="14"/>
      <c r="U45" s="20"/>
    </row>
    <row r="46" customFormat="false" ht="12" hidden="false" customHeight="true" outlineLevel="0" collapsed="false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8"/>
      <c r="P46" s="14"/>
      <c r="Q46" s="14"/>
      <c r="R46" s="14"/>
      <c r="S46" s="14"/>
      <c r="T46" s="14"/>
      <c r="U46" s="20"/>
    </row>
    <row r="47" customFormat="false" ht="23.25" hidden="false" customHeight="true" outlineLevel="0" collapsed="false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8"/>
      <c r="P47" s="25"/>
      <c r="Q47" s="14"/>
      <c r="R47" s="25"/>
      <c r="S47" s="14"/>
      <c r="T47" s="25"/>
      <c r="U47" s="20"/>
    </row>
    <row r="48" customFormat="false" ht="21" hidden="false" customHeight="true" outlineLevel="0" collapsed="false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8"/>
      <c r="P48" s="32"/>
      <c r="Q48" s="14"/>
      <c r="R48" s="33"/>
      <c r="S48" s="14"/>
      <c r="T48" s="28"/>
      <c r="U48" s="20"/>
    </row>
    <row r="49" customFormat="false" ht="21" hidden="false" customHeight="true" outlineLevel="0" collapsed="false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8"/>
      <c r="P49" s="32"/>
      <c r="Q49" s="14"/>
      <c r="R49" s="33"/>
      <c r="S49" s="14"/>
      <c r="T49" s="28"/>
      <c r="U49" s="20"/>
    </row>
    <row r="50" customFormat="false" ht="21" hidden="false" customHeight="true" outlineLevel="0" collapsed="false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8"/>
      <c r="P50" s="32"/>
      <c r="Q50" s="14"/>
      <c r="R50" s="33"/>
      <c r="S50" s="14"/>
      <c r="T50" s="28"/>
      <c r="U50" s="20"/>
    </row>
    <row r="51" customFormat="false" ht="21" hidden="false" customHeight="true" outlineLevel="0" collapsed="false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8"/>
      <c r="P51" s="32"/>
      <c r="Q51" s="14"/>
      <c r="R51" s="33"/>
      <c r="S51" s="14"/>
      <c r="T51" s="28"/>
      <c r="U51" s="20"/>
    </row>
    <row r="52" customFormat="false" ht="21" hidden="false" customHeight="true" outlineLevel="0" collapsed="false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8"/>
      <c r="P52" s="32"/>
      <c r="Q52" s="14"/>
      <c r="R52" s="33"/>
      <c r="S52" s="14"/>
      <c r="T52" s="28"/>
      <c r="U52" s="20"/>
    </row>
    <row r="53" customFormat="false" ht="21" hidden="false" customHeight="true" outlineLevel="0" collapsed="false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8"/>
      <c r="P53" s="32"/>
      <c r="Q53" s="14"/>
      <c r="R53" s="33"/>
      <c r="S53" s="14"/>
      <c r="T53" s="28"/>
      <c r="U53" s="20"/>
    </row>
    <row r="54" customFormat="false" ht="21" hidden="false" customHeight="true" outlineLevel="0" collapsed="false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8"/>
      <c r="P54" s="32"/>
      <c r="Q54" s="14"/>
      <c r="R54" s="33"/>
      <c r="S54" s="14"/>
      <c r="T54" s="28"/>
      <c r="U54" s="20"/>
    </row>
    <row r="55" customFormat="false" ht="21" hidden="false" customHeight="true" outlineLevel="0" collapsed="false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8"/>
      <c r="P55" s="32"/>
      <c r="Q55" s="14"/>
      <c r="R55" s="33"/>
      <c r="S55" s="14"/>
      <c r="T55" s="28"/>
      <c r="U55" s="20"/>
    </row>
    <row r="56" customFormat="false" ht="21" hidden="false" customHeight="true" outlineLevel="0" collapsed="false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8"/>
      <c r="P56" s="32"/>
      <c r="Q56" s="14"/>
      <c r="R56" s="33"/>
      <c r="S56" s="14"/>
      <c r="T56" s="28"/>
      <c r="U56" s="20"/>
    </row>
    <row r="57" customFormat="false" ht="21" hidden="false" customHeight="true" outlineLevel="0" collapsed="false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8"/>
      <c r="P57" s="32"/>
      <c r="Q57" s="14"/>
      <c r="R57" s="33"/>
      <c r="S57" s="14"/>
      <c r="T57" s="28"/>
      <c r="U57" s="20"/>
    </row>
    <row r="58" customFormat="false" ht="12" hidden="false" customHeight="true" outlineLevel="0" collapsed="false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34"/>
      <c r="P58" s="25"/>
      <c r="Q58" s="25"/>
      <c r="R58" s="25"/>
      <c r="S58" s="25"/>
      <c r="T58" s="25"/>
      <c r="U58" s="35"/>
    </row>
    <row r="60" customFormat="false" ht="9.75" hidden="false" customHeight="true" outlineLevel="0" collapsed="false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5"/>
      <c r="W60" s="16"/>
      <c r="X60" s="16"/>
      <c r="Y60" s="16"/>
      <c r="Z60" s="16"/>
      <c r="AA60" s="16"/>
      <c r="AB60" s="16"/>
      <c r="AC60" s="16"/>
      <c r="AD60" s="16"/>
      <c r="AE60" s="17"/>
    </row>
    <row r="61" customFormat="false" ht="15" hidden="false" customHeight="false" outlineLevel="0" collapsed="false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8"/>
      <c r="W61" s="36" t="s">
        <v>17</v>
      </c>
      <c r="X61" s="36"/>
      <c r="Y61" s="36"/>
      <c r="Z61" s="36"/>
      <c r="AA61" s="36"/>
      <c r="AB61" s="37"/>
      <c r="AC61" s="14"/>
      <c r="AD61" s="14"/>
      <c r="AE61" s="20"/>
    </row>
    <row r="62" customFormat="false" ht="9.75" hidden="false" customHeight="true" outlineLevel="0" collapsed="false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8"/>
      <c r="W62" s="37"/>
      <c r="X62" s="37"/>
      <c r="Y62" s="37"/>
      <c r="Z62" s="37"/>
      <c r="AA62" s="37"/>
      <c r="AB62" s="37"/>
      <c r="AC62" s="14"/>
      <c r="AD62" s="14"/>
      <c r="AE62" s="20"/>
    </row>
    <row r="63" customFormat="false" ht="15" hidden="false" customHeight="false" outlineLevel="0" collapsed="false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8"/>
      <c r="W63" s="38" t="s">
        <v>27</v>
      </c>
      <c r="X63" s="38"/>
      <c r="Y63" s="38"/>
      <c r="Z63" s="38"/>
      <c r="AA63" s="38"/>
      <c r="AB63" s="37"/>
      <c r="AC63" s="14"/>
      <c r="AD63" s="14"/>
      <c r="AE63" s="20"/>
    </row>
    <row r="64" customFormat="false" ht="9.75" hidden="false" customHeight="true" outlineLevel="0" collapsed="false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8"/>
      <c r="W64" s="14"/>
      <c r="X64" s="14"/>
      <c r="Y64" s="14"/>
      <c r="Z64" s="14"/>
      <c r="AA64" s="14"/>
      <c r="AB64" s="14"/>
      <c r="AC64" s="14"/>
      <c r="AD64" s="14"/>
      <c r="AE64" s="20"/>
    </row>
    <row r="65" customFormat="false" ht="22.5" hidden="false" customHeight="true" outlineLevel="0" collapsed="false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8"/>
      <c r="W65" s="47" t="s">
        <v>20</v>
      </c>
      <c r="X65" s="47" t="s">
        <v>21</v>
      </c>
      <c r="Y65" s="25"/>
      <c r="Z65" s="47"/>
      <c r="AA65" s="14"/>
      <c r="AB65" s="47"/>
      <c r="AC65" s="44"/>
      <c r="AD65" s="42"/>
      <c r="AE65" s="20"/>
    </row>
    <row r="66" customFormat="false" ht="22.5" hidden="false" customHeight="true" outlineLevel="0" collapsed="false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8"/>
      <c r="W66" s="47"/>
      <c r="X66" s="47"/>
      <c r="Y66" s="14"/>
      <c r="Z66" s="47"/>
      <c r="AA66" s="14"/>
      <c r="AB66" s="47"/>
      <c r="AC66" s="44"/>
      <c r="AD66" s="42"/>
      <c r="AE66" s="20"/>
    </row>
    <row r="67" customFormat="false" ht="9.75" hidden="false" customHeight="true" outlineLevel="0" collapsed="false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8"/>
      <c r="W67" s="14"/>
      <c r="X67" s="14"/>
      <c r="Y67" s="14"/>
      <c r="Z67" s="14"/>
      <c r="AA67" s="14"/>
      <c r="AB67" s="14"/>
      <c r="AC67" s="14"/>
      <c r="AD67" s="14"/>
      <c r="AE67" s="20"/>
    </row>
    <row r="68" customFormat="false" ht="15" hidden="false" customHeight="false" outlineLevel="0" collapsed="false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8"/>
      <c r="W68" s="38" t="s">
        <v>28</v>
      </c>
      <c r="X68" s="38"/>
      <c r="Y68" s="38"/>
      <c r="Z68" s="38"/>
      <c r="AA68" s="38"/>
      <c r="AB68" s="37"/>
      <c r="AC68" s="14"/>
      <c r="AD68" s="14"/>
      <c r="AE68" s="20"/>
    </row>
    <row r="69" customFormat="false" ht="9.75" hidden="false" customHeight="true" outlineLevel="0" collapsed="false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8"/>
      <c r="W69" s="14"/>
      <c r="X69" s="14"/>
      <c r="Y69" s="14"/>
      <c r="Z69" s="14"/>
      <c r="AA69" s="14"/>
      <c r="AB69" s="14"/>
      <c r="AC69" s="14"/>
      <c r="AD69" s="14"/>
      <c r="AE69" s="20"/>
    </row>
    <row r="70" customFormat="false" ht="21.75" hidden="false" customHeight="true" outlineLevel="0" collapsed="false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8"/>
      <c r="W70" s="42" t="s">
        <v>20</v>
      </c>
      <c r="X70" s="42" t="s">
        <v>21</v>
      </c>
      <c r="Y70" s="43"/>
      <c r="Z70" s="42"/>
      <c r="AA70" s="46"/>
      <c r="AB70" s="42"/>
      <c r="AC70" s="44"/>
      <c r="AD70" s="42"/>
      <c r="AE70" s="20"/>
    </row>
    <row r="71" customFormat="false" ht="21.75" hidden="false" customHeight="true" outlineLevel="0" collapsed="false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8"/>
      <c r="W71" s="42"/>
      <c r="X71" s="42"/>
      <c r="Y71" s="46"/>
      <c r="Z71" s="42"/>
      <c r="AA71" s="46"/>
      <c r="AB71" s="42"/>
      <c r="AC71" s="44"/>
      <c r="AD71" s="42"/>
      <c r="AE71" s="20"/>
    </row>
    <row r="72" customFormat="false" ht="22.5" hidden="false" customHeight="true" outlineLevel="0" collapsed="false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8"/>
      <c r="W72" s="14"/>
      <c r="X72" s="14"/>
      <c r="Y72" s="14"/>
      <c r="Z72" s="14"/>
      <c r="AA72" s="14"/>
      <c r="AB72" s="14"/>
      <c r="AC72" s="14"/>
      <c r="AD72" s="41"/>
      <c r="AE72" s="20"/>
    </row>
    <row r="73" customFormat="false" ht="21.75" hidden="false" customHeight="true" outlineLevel="0" collapsed="false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8"/>
      <c r="W73" s="48" t="s">
        <v>29</v>
      </c>
      <c r="X73" s="47" t="s">
        <v>21</v>
      </c>
      <c r="Y73" s="9" t="s">
        <v>30</v>
      </c>
      <c r="Z73" s="47" t="s">
        <v>21</v>
      </c>
      <c r="AA73" s="14"/>
      <c r="AB73" s="47"/>
      <c r="AC73" s="49"/>
      <c r="AD73" s="41"/>
      <c r="AE73" s="20"/>
    </row>
    <row r="74" customFormat="false" ht="21.75" hidden="false" customHeight="true" outlineLevel="0" collapsed="false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8"/>
      <c r="W74" s="48"/>
      <c r="X74" s="47"/>
      <c r="Y74" s="6" t="s">
        <v>31</v>
      </c>
      <c r="Z74" s="47"/>
      <c r="AA74" s="14"/>
      <c r="AB74" s="47"/>
      <c r="AC74" s="49"/>
      <c r="AD74" s="41"/>
      <c r="AE74" s="20"/>
    </row>
    <row r="75" customFormat="false" ht="9.75" hidden="false" customHeight="true" outlineLevel="0" collapsed="false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34"/>
      <c r="W75" s="25"/>
      <c r="X75" s="25"/>
      <c r="Y75" s="25"/>
      <c r="Z75" s="25"/>
      <c r="AA75" s="25"/>
      <c r="AB75" s="25"/>
      <c r="AC75" s="25"/>
      <c r="AD75" s="25"/>
      <c r="AE75" s="35"/>
    </row>
  </sheetData>
  <mergeCells count="51">
    <mergeCell ref="E2:L2"/>
    <mergeCell ref="E3:L3"/>
    <mergeCell ref="E4:H4"/>
    <mergeCell ref="K4:L4"/>
    <mergeCell ref="D7:T7"/>
    <mergeCell ref="D9:H9"/>
    <mergeCell ref="J9:N9"/>
    <mergeCell ref="P9:T9"/>
    <mergeCell ref="D10:H10"/>
    <mergeCell ref="J10:N10"/>
    <mergeCell ref="P10:T10"/>
    <mergeCell ref="W26:AA26"/>
    <mergeCell ref="W28:AA28"/>
    <mergeCell ref="W31:W32"/>
    <mergeCell ref="X31:X32"/>
    <mergeCell ref="Z31:Z32"/>
    <mergeCell ref="AB31:AB32"/>
    <mergeCell ref="AC31:AC32"/>
    <mergeCell ref="AD31:AD32"/>
    <mergeCell ref="W35:W36"/>
    <mergeCell ref="X35:X36"/>
    <mergeCell ref="Z35:Z36"/>
    <mergeCell ref="AB35:AB36"/>
    <mergeCell ref="AC35:AC36"/>
    <mergeCell ref="AD35:AD36"/>
    <mergeCell ref="W39:W40"/>
    <mergeCell ref="X39:X40"/>
    <mergeCell ref="Z39:Z40"/>
    <mergeCell ref="AB39:AB40"/>
    <mergeCell ref="AC39:AC40"/>
    <mergeCell ref="AD39:AD40"/>
    <mergeCell ref="W61:AA61"/>
    <mergeCell ref="W63:AA63"/>
    <mergeCell ref="W65:W66"/>
    <mergeCell ref="X65:X66"/>
    <mergeCell ref="Z65:Z66"/>
    <mergeCell ref="AB65:AB66"/>
    <mergeCell ref="AC65:AC66"/>
    <mergeCell ref="AD65:AD66"/>
    <mergeCell ref="W68:AA68"/>
    <mergeCell ref="W70:W71"/>
    <mergeCell ref="X70:X71"/>
    <mergeCell ref="Z70:Z71"/>
    <mergeCell ref="AB70:AB71"/>
    <mergeCell ref="AC70:AC71"/>
    <mergeCell ref="AD70:AD71"/>
    <mergeCell ref="W73:W74"/>
    <mergeCell ref="X73:X74"/>
    <mergeCell ref="Z73:Z74"/>
    <mergeCell ref="AB73:AB74"/>
    <mergeCell ref="AC73:AC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462</TotalTime>
  <Application>LibreOffice/25.8.6.2$Linux_AARCH64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2016-04-29T01:44:16Z</dcterms:created>
  <dc:creator>rccd</dc:creator>
  <dc:description/>
  <dc:language>en-US</dc:language>
  <cp:lastModifiedBy/>
  <dcterms:modified xsi:type="dcterms:W3CDTF">2026-04-23T00:20:23Z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