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ial 1" sheetId="1" state="visible" r:id="rId3"/>
    <sheet name="Trial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<sst xmlns="http://schemas.openxmlformats.org/spreadsheetml/2006/main" count="128" uniqueCount="41">
  <si>
    <t xml:space="preserve">Name:</t>
  </si>
  <si>
    <t xml:space="preserve">Delano Leslie</t>
  </si>
  <si>
    <t xml:space="preserve">Partner(s):</t>
  </si>
  <si>
    <t xml:space="preserve">Montana, Sean Robertson,  William R, Miguel Torres</t>
  </si>
  <si>
    <t xml:space="preserve">Date:</t>
  </si>
  <si>
    <t xml:space="preserve">Table #:  </t>
  </si>
  <si>
    <t xml:space="preserve">3</t>
  </si>
  <si>
    <t xml:space="preserve">Resistors - from Lab 5</t>
  </si>
  <si>
    <t xml:space="preserve">Colors</t>
  </si>
  <si>
    <r>
      <rPr>
        <sz val="11"/>
        <color theme="1"/>
        <rFont val="Calibri"/>
        <family val="2"/>
        <charset val="1"/>
      </rPr>
      <t xml:space="preserve">R  (k</t>
    </r>
    <r>
      <rPr>
        <sz val="11"/>
        <color rgb="FF000000"/>
        <rFont val="Symbol"/>
        <family val="1"/>
        <charset val="2"/>
      </rPr>
      <t xml:space="preserve">W</t>
    </r>
    <r>
      <rPr>
        <sz val="11"/>
        <color theme="1"/>
        <rFont val="Calibri"/>
        <family val="2"/>
        <charset val="1"/>
      </rPr>
      <t xml:space="preserve">)</t>
    </r>
  </si>
  <si>
    <t xml:space="preserve">OOBG</t>
  </si>
  <si>
    <t xml:space="preserve">RRBG</t>
  </si>
  <si>
    <t xml:space="preserve">YPBG</t>
  </si>
  <si>
    <t xml:space="preserve">Multiloop Circuit - Trial 1</t>
  </si>
  <si>
    <r>
      <rPr>
        <i val="true"/>
        <sz val="16"/>
        <color rgb="FF000000"/>
        <rFont val="Calibri"/>
        <family val="2"/>
        <charset val="1"/>
      </rPr>
      <t xml:space="preserve">Adjust the value of R</t>
    </r>
    <r>
      <rPr>
        <i val="true"/>
        <vertAlign val="subscript"/>
        <sz val="16"/>
        <color rgb="FF000000"/>
        <rFont val="Calibri"/>
        <family val="2"/>
        <charset val="1"/>
      </rPr>
      <t xml:space="preserve">3</t>
    </r>
    <r>
      <rPr>
        <i val="true"/>
        <sz val="16"/>
        <color rgb="FF000000"/>
        <rFont val="Calibri"/>
        <family val="2"/>
        <charset val="1"/>
      </rPr>
      <t xml:space="preserve"> by adding 0.013 k</t>
    </r>
    <r>
      <rPr>
        <i val="true"/>
        <sz val="16"/>
        <color rgb="FF000000"/>
        <rFont val="Symbol"/>
        <family val="1"/>
        <charset val="2"/>
      </rPr>
      <t xml:space="preserve">W</t>
    </r>
    <r>
      <rPr>
        <i val="true"/>
        <sz val="16"/>
        <color rgb="FF000000"/>
        <rFont val="Calibri"/>
        <family val="2"/>
        <charset val="1"/>
      </rPr>
      <t xml:space="preserve"> for the resistance of the ammeter.</t>
    </r>
  </si>
  <si>
    <t xml:space="preserve">Resistor</t>
  </si>
  <si>
    <r>
      <rPr>
        <sz val="11"/>
        <color theme="1"/>
        <rFont val="Calibri"/>
        <family val="2"/>
        <charset val="1"/>
      </rPr>
      <t xml:space="preserve">Orig R  (k</t>
    </r>
    <r>
      <rPr>
        <sz val="11"/>
        <color rgb="FF000000"/>
        <rFont val="Symbol"/>
        <family val="1"/>
        <charset val="2"/>
      </rPr>
      <t xml:space="preserve">W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</si>
  <si>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Adj R  (k</t>
    </r>
    <r>
      <rPr>
        <sz val="11"/>
        <color rgb="FF000000"/>
        <rFont val="Symbol"/>
        <family val="1"/>
        <charset val="2"/>
      </rPr>
      <t xml:space="preserve">W</t>
    </r>
    <r>
      <rPr>
        <sz val="11"/>
        <color theme="1"/>
        <rFont val="Calibri"/>
        <family val="2"/>
        <charset val="1"/>
      </rPr>
      <t xml:space="preserve">)</t>
    </r>
  </si>
  <si>
    <r>
      <rPr>
        <sz val="14"/>
        <color theme="1"/>
        <rFont val="Calibri"/>
        <family val="2"/>
        <charset val="1"/>
      </rPr>
      <t xml:space="preserve">R</t>
    </r>
    <r>
      <rPr>
        <vertAlign val="subscript"/>
        <sz val="14"/>
        <color theme="1"/>
        <rFont val="Calibri"/>
        <family val="2"/>
        <charset val="1"/>
      </rPr>
      <t xml:space="preserve">1</t>
    </r>
  </si>
  <si>
    <r>
      <rPr>
        <sz val="14"/>
        <color theme="1"/>
        <rFont val="Calibri"/>
        <family val="2"/>
        <charset val="1"/>
      </rPr>
      <t xml:space="preserve">R</t>
    </r>
    <r>
      <rPr>
        <vertAlign val="subscript"/>
        <sz val="14"/>
        <color theme="1"/>
        <rFont val="Calibri"/>
        <family val="2"/>
        <charset val="1"/>
      </rPr>
      <t xml:space="preserve">2</t>
    </r>
  </si>
  <si>
    <r>
      <rPr>
        <sz val="14"/>
        <color theme="1"/>
        <rFont val="Calibri"/>
        <family val="2"/>
        <charset val="1"/>
      </rPr>
      <t xml:space="preserve">R</t>
    </r>
    <r>
      <rPr>
        <vertAlign val="subscript"/>
        <sz val="14"/>
        <color theme="1"/>
        <rFont val="Calibri"/>
        <family val="2"/>
        <charset val="1"/>
      </rPr>
      <t xml:space="preserve">3</t>
    </r>
  </si>
  <si>
    <t xml:space="preserve">bbb</t>
  </si>
  <si>
    <t xml:space="preserve">Graph Here!</t>
  </si>
  <si>
    <t xml:space="preserve">Voltage v.s. Current</t>
  </si>
  <si>
    <r>
      <rPr>
        <sz val="12"/>
        <color theme="1"/>
        <rFont val="Calibri"/>
        <family val="2"/>
        <charset val="1"/>
      </rPr>
      <t xml:space="preserve">V</t>
    </r>
    <r>
      <rPr>
        <vertAlign val="subscript"/>
        <sz val="12"/>
        <color theme="1"/>
        <rFont val="Calibri"/>
        <family val="2"/>
        <charset val="1"/>
      </rPr>
      <t xml:space="preserve">1</t>
    </r>
    <r>
      <rPr>
        <sz val="12"/>
        <color theme="1"/>
        <rFont val="Calibri"/>
        <family val="2"/>
        <charset val="1"/>
      </rPr>
      <t xml:space="preserve"> (V)</t>
    </r>
  </si>
  <si>
    <t xml:space="preserve">"z" (mA)</t>
  </si>
  <si>
    <t xml:space="preserve">Calculations</t>
  </si>
  <si>
    <r>
      <rPr>
        <sz val="11"/>
        <color theme="1"/>
        <rFont val="Calibri"/>
        <family val="2"/>
        <charset val="1"/>
      </rPr>
      <t xml:space="preserve">Calculate </t>
    </r>
    <r>
      <rPr>
        <sz val="11"/>
        <color rgb="FF000000"/>
        <rFont val="Symbol"/>
        <family val="1"/>
        <charset val="2"/>
      </rPr>
      <t xml:space="preserve">a</t>
    </r>
  </si>
  <si>
    <t xml:space="preserve">a</t>
  </si>
  <si>
    <t xml:space="preserve">=</t>
  </si>
  <si>
    <r>
      <rPr>
        <sz val="12"/>
        <color theme="1"/>
        <rFont val="Calibri"/>
        <family val="2"/>
        <charset val="1"/>
      </rPr>
      <t xml:space="preserve">R</t>
    </r>
    <r>
      <rPr>
        <vertAlign val="subscript"/>
        <sz val="12"/>
        <color rgb="FF000000"/>
        <rFont val="Calibri"/>
        <family val="2"/>
        <charset val="1"/>
      </rPr>
      <t xml:space="preserve">1</t>
    </r>
    <r>
      <rPr>
        <sz val="12"/>
        <color theme="1"/>
        <rFont val="Calibri"/>
        <family val="2"/>
        <charset val="1"/>
      </rPr>
      <t xml:space="preserve">R</t>
    </r>
    <r>
      <rPr>
        <vertAlign val="subscript"/>
        <sz val="12"/>
        <color rgb="FF000000"/>
        <rFont val="Calibri"/>
        <family val="2"/>
        <charset val="1"/>
      </rPr>
      <t xml:space="preserve">2</t>
    </r>
    <r>
      <rPr>
        <sz val="12"/>
        <color theme="1"/>
        <rFont val="Calibri"/>
        <family val="2"/>
        <charset val="1"/>
      </rPr>
      <t xml:space="preserve"> + R</t>
    </r>
    <r>
      <rPr>
        <vertAlign val="subscript"/>
        <sz val="12"/>
        <color rgb="FF000000"/>
        <rFont val="Calibri"/>
        <family val="2"/>
        <charset val="1"/>
      </rPr>
      <t xml:space="preserve">1</t>
    </r>
    <r>
      <rPr>
        <sz val="12"/>
        <color theme="1"/>
        <rFont val="Calibri"/>
        <family val="2"/>
        <charset val="1"/>
      </rPr>
      <t xml:space="preserve">R</t>
    </r>
    <r>
      <rPr>
        <vertAlign val="subscript"/>
        <sz val="12"/>
        <color rgb="FF000000"/>
        <rFont val="Calibri"/>
        <family val="2"/>
        <charset val="1"/>
      </rPr>
      <t xml:space="preserve">3</t>
    </r>
    <r>
      <rPr>
        <sz val="12"/>
        <color theme="1"/>
        <rFont val="Calibri"/>
        <family val="2"/>
        <charset val="1"/>
      </rPr>
      <t xml:space="preserve"> + R</t>
    </r>
    <r>
      <rPr>
        <vertAlign val="subscript"/>
        <sz val="12"/>
        <color rgb="FF000000"/>
        <rFont val="Calibri"/>
        <family val="2"/>
        <charset val="1"/>
      </rPr>
      <t xml:space="preserve">2</t>
    </r>
    <r>
      <rPr>
        <sz val="12"/>
        <color theme="1"/>
        <rFont val="Calibri"/>
        <family val="2"/>
        <charset val="1"/>
      </rPr>
      <t xml:space="preserve">R</t>
    </r>
    <r>
      <rPr>
        <vertAlign val="subscript"/>
        <sz val="12"/>
        <color rgb="FF000000"/>
        <rFont val="Calibri"/>
        <family val="2"/>
        <charset val="1"/>
      </rPr>
      <t xml:space="preserve">3</t>
    </r>
  </si>
  <si>
    <r>
      <rPr>
        <sz val="12"/>
        <color theme="1"/>
        <rFont val="Calibri"/>
        <family val="2"/>
        <charset val="1"/>
      </rPr>
      <t xml:space="preserve"> (k</t>
    </r>
    <r>
      <rPr>
        <sz val="12"/>
        <color rgb="FF000000"/>
        <rFont val="Times New Roman"/>
        <family val="1"/>
        <charset val="1"/>
      </rPr>
      <t xml:space="preserve">Ω</t>
    </r>
    <r>
      <rPr>
        <sz val="12"/>
        <color theme="1"/>
        <rFont val="Calibri"/>
        <family val="2"/>
        <charset val="1"/>
      </rPr>
      <t xml:space="preserve">)</t>
    </r>
    <r>
      <rPr>
        <vertAlign val="superscript"/>
        <sz val="12"/>
        <color theme="1"/>
        <rFont val="Calibri"/>
        <family val="2"/>
        <charset val="1"/>
      </rPr>
      <t xml:space="preserve">2</t>
    </r>
  </si>
  <si>
    <t xml:space="preserve">Calculate the expected value of the slope</t>
  </si>
  <si>
    <t xml:space="preserve">slope</t>
  </si>
  <si>
    <t xml:space="preserve">% diff</t>
  </si>
  <si>
    <t xml:space="preserve">meas - expec</t>
  </si>
  <si>
    <t xml:space="preserve">expec</t>
  </si>
  <si>
    <t xml:space="preserve">Calculate the expected value of the y-intercept</t>
  </si>
  <si>
    <t xml:space="preserve">y-int</t>
  </si>
  <si>
    <r>
      <rPr>
        <sz val="14"/>
        <color theme="1"/>
        <rFont val="Calibri"/>
        <family val="2"/>
        <charset val="1"/>
      </rPr>
      <t xml:space="preserve">R</t>
    </r>
    <r>
      <rPr>
        <vertAlign val="subscript"/>
        <sz val="14"/>
        <color theme="1"/>
        <rFont val="Calibri"/>
        <family val="2"/>
        <charset val="1"/>
      </rPr>
      <t xml:space="preserve">1</t>
    </r>
    <r>
      <rPr>
        <sz val="14"/>
        <color theme="1"/>
        <rFont val="Calibri"/>
        <family val="2"/>
        <charset val="1"/>
      </rPr>
      <t xml:space="preserve"> V</t>
    </r>
    <r>
      <rPr>
        <vertAlign val="subscript"/>
        <sz val="14"/>
        <color theme="1"/>
        <rFont val="Calibri"/>
        <family val="2"/>
        <charset val="1"/>
      </rPr>
      <t xml:space="preserve">2</t>
    </r>
  </si>
  <si>
    <t xml:space="preserve">Multiloop Circuit - Trial 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</si>
</sst>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"/>
    <numFmt numFmtId="166" formatCode="@"/>
    <numFmt numFmtId="167" formatCode="0.0"/>
    <numFmt numFmtId="168" formatCode="0.00"/>
    <numFmt numFmtId="169" formatCode="0.0000"/>
    <numFmt numFmtId="170" formatCode="0.000"/>
    <numFmt numFmtId="171" formatCode="0%"/>
    <numFmt numFmtId="172" formatCode="0.0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6"/>
      <color rgb="FF000000"/>
      <name val="Wingdings 3"/>
      <family val="1"/>
      <charset val="2"/>
    </font>
    <font>
      <b val="true"/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i val="true"/>
      <sz val="11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i val="true"/>
      <vertAlign val="subscript"/>
      <sz val="16"/>
      <color rgb="FF000000"/>
      <name val="Calibri"/>
      <family val="2"/>
      <charset val="1"/>
    </font>
    <font>
      <i val="true"/>
      <sz val="16"/>
      <color rgb="FF000000"/>
      <name val="Symbol"/>
      <family val="1"/>
      <charset val="2"/>
    </font>
    <font>
      <sz val="14"/>
      <color theme="1"/>
      <name val="Calibri"/>
      <family val="2"/>
      <charset val="1"/>
    </font>
    <font>
      <vertAlign val="subscript"/>
      <sz val="14"/>
      <color theme="1"/>
      <name val="Calibri"/>
      <family val="2"/>
      <charset val="1"/>
    </font>
    <font>
      <i val="true"/>
      <sz val="36"/>
      <color rgb="FF000000"/>
      <name val="Wingdings 3"/>
      <family val="1"/>
      <charset val="2"/>
    </font>
    <font>
      <i val="true"/>
      <sz val="48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vertAlign val="subscript"/>
      <sz val="12"/>
      <color theme="1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2"/>
      <color rgb="FFFFFFFF"/>
      <name val="Calibri"/>
      <family val="2"/>
      <charset val="1"/>
    </font>
    <font>
      <sz val="2"/>
      <color rgb="FFFFFFFF"/>
      <name val="Calibri"/>
      <family val="2"/>
    </font>
    <font>
      <i val="true"/>
      <sz val="14"/>
      <color rgb="FF000000"/>
      <name val="Symbol"/>
      <family val="1"/>
      <charset val="2"/>
    </font>
    <font>
      <vertAlign val="subscript"/>
      <sz val="12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vertAlign val="superscript"/>
      <sz val="12"/>
      <color theme="1"/>
      <name val="Calibri"/>
      <family val="2"/>
      <charset val="1"/>
    </font>
    <font>
      <sz val="14"/>
      <color rgb="FF000000"/>
      <name val="Symbol"/>
      <family val="1"/>
      <charset val="2"/>
    </font>
    <font>
      <i val="true"/>
      <sz val="12"/>
      <color theme="1"/>
      <name val="Calibri"/>
      <family val="2"/>
      <charset val="1"/>
    </font>
    <font>
      <sz val="11"/>
      <color theme="1"/>
      <name val="Calibri"/>
      <family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Voltage v.s.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'Trial 1'!$K$28</c:f>
              <c:strCache>
                <c:ptCount val="1"/>
                <c:pt idx="0">
                  <c:v>"z" (mA)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1'!$I$29:$I$38</c:f>
              <c:numCache>
                <c:formatCode>0.00</c:formatCode>
                <c:ptCount val="10"/>
                <c:pt idx="0">
                  <c:v>1.07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'Trial 1'!$K$29:$K$38</c:f>
              <c:numCache>
                <c:formatCode>General</c:formatCode>
                <c:ptCount val="10"/>
                <c:pt idx="0">
                  <c:v>5.8</c:v>
                </c:pt>
                <c:pt idx="1">
                  <c:v>6.4</c:v>
                </c:pt>
                <c:pt idx="2">
                  <c:v>7.1</c:v>
                </c:pt>
                <c:pt idx="3">
                  <c:v>7.8</c:v>
                </c:pt>
                <c:pt idx="4">
                  <c:v>8.4</c:v>
                </c:pt>
                <c:pt idx="5">
                  <c:v>9.1</c:v>
                </c:pt>
                <c:pt idx="6">
                  <c:v>9.7</c:v>
                </c:pt>
                <c:pt idx="7">
                  <c:v>10.4</c:v>
                </c:pt>
                <c:pt idx="8">
                  <c:v>11.1</c:v>
                </c:pt>
                <c:pt idx="9">
                  <c:v>11.7</c:v>
                </c:pt>
              </c:numCache>
            </c:numRef>
          </c:yVal>
          <c:smooth val="0"/>
        </c:ser>
        <c:axId val="57406267"/>
        <c:axId val="51314975"/>
      </c:scatterChart>
      <c:valAx>
        <c:axId val="57406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314975"/>
        <c:crosses val="autoZero"/>
        <c:crossBetween val="between"/>
      </c:valAx>
      <c:valAx>
        <c:axId val="51314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z(mA)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740626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Voltage v.s.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'Trial 2'!$K$28</c:f>
              <c:strCache>
                <c:ptCount val="1"/>
                <c:pt idx="0">
                  <c:v>"z" (mA)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2'!$I$29:$I$38</c:f>
              <c:numCache>
                <c:formatCode>0.00</c:formatCode>
                <c:ptCount val="10"/>
                <c:pt idx="0">
                  <c:v>0.6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'Trial 2'!$K$29:$K$38</c:f>
              <c:numCache>
                <c:formatCode>General</c:formatCode>
                <c:ptCount val="10"/>
                <c:pt idx="0">
                  <c:v>7.6</c:v>
                </c:pt>
                <c:pt idx="1">
                  <c:v>8.5</c:v>
                </c:pt>
                <c:pt idx="2">
                  <c:v>9.1</c:v>
                </c:pt>
                <c:pt idx="3">
                  <c:v>9.8</c:v>
                </c:pt>
                <c:pt idx="4">
                  <c:v>10.5</c:v>
                </c:pt>
                <c:pt idx="5">
                  <c:v>11.1</c:v>
                </c:pt>
                <c:pt idx="6">
                  <c:v>11.7</c:v>
                </c:pt>
                <c:pt idx="7">
                  <c:v>12.4</c:v>
                </c:pt>
                <c:pt idx="8">
                  <c:v>13</c:v>
                </c:pt>
                <c:pt idx="9">
                  <c:v>13.7</c:v>
                </c:pt>
              </c:numCache>
            </c:numRef>
          </c:yVal>
          <c:smooth val="0"/>
        </c:ser>
        <c:axId val="5311362"/>
        <c:axId val="30697281"/>
      </c:scatterChart>
      <c:valAx>
        <c:axId val="53113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697281"/>
        <c:crosses val="autoZero"/>
        <c:crossBetween val="between"/>
      </c:valAx>
      <c:valAx>
        <c:axId val="306972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z(mA)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31136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32400</xdr:colOff>
      <xdr:row>23</xdr:row>
      <xdr:rowOff>178200</xdr:rowOff>
    </xdr:from>
    <xdr:to>
      <xdr:col>24</xdr:col>
      <xdr:colOff>1673640</xdr:colOff>
      <xdr:row>36</xdr:row>
      <xdr:rowOff>182880</xdr:rowOff>
    </xdr:to>
    <xdr:graphicFrame>
      <xdr:nvGraphicFramePr>
        <xdr:cNvPr id="0" name=""/>
        <xdr:cNvGraphicFramePr/>
      </xdr:nvGraphicFramePr>
      <xdr:xfrm>
        <a:off x="5637600" y="6131160"/>
        <a:ext cx="6765120" cy="38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32400</xdr:colOff>
      <xdr:row>23</xdr:row>
      <xdr:rowOff>177840</xdr:rowOff>
    </xdr:from>
    <xdr:to>
      <xdr:col>24</xdr:col>
      <xdr:colOff>1673640</xdr:colOff>
      <xdr:row>36</xdr:row>
      <xdr:rowOff>182520</xdr:rowOff>
    </xdr:to>
    <xdr:graphicFrame>
      <xdr:nvGraphicFramePr>
        <xdr:cNvPr id="1" name=""/>
        <xdr:cNvGraphicFramePr/>
      </xdr:nvGraphicFramePr>
      <xdr:xfrm>
        <a:off x="5637600" y="6115680"/>
        <a:ext cx="6765120" cy="38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C63"/>
  <sheetViews>
    <sheetView showFormulas="false" showGridLines="true" showRowColHeaders="true" showZeros="true" rightToLeft="false" tabSelected="false" showOutlineSymbols="true" defaultGridColor="true" view="normal" topLeftCell="C27" colorId="64" zoomScale="84" zoomScaleNormal="84" zoomScalePageLayoutView="100" workbookViewId="0">
      <selection pane="topLeft" activeCell="I26" activeCellId="0" sqref="I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.42"/>
    <col collapsed="false" customWidth="true" hidden="false" outlineLevel="0" max="3" min="3" style="0" width="9.57"/>
    <col collapsed="false" customWidth="true" hidden="false" outlineLevel="0" max="4" min="4" style="0" width="2.42"/>
    <col collapsed="false" customWidth="true" hidden="false" outlineLevel="0" max="5" min="5" style="0" width="9.57"/>
    <col collapsed="false" customWidth="true" hidden="false" outlineLevel="0" max="6" min="6" style="0" width="2.42"/>
    <col collapsed="false" customWidth="true" hidden="false" outlineLevel="0" max="7" min="7" style="0" width="9.57"/>
    <col collapsed="false" customWidth="true" hidden="false" outlineLevel="0" max="8" min="8" style="0" width="2.42"/>
    <col collapsed="false" customWidth="true" hidden="false" outlineLevel="0" max="9" min="9" style="0" width="14"/>
    <col collapsed="false" customWidth="true" hidden="false" outlineLevel="0" max="10" min="10" style="0" width="2.42"/>
    <col collapsed="false" customWidth="true" hidden="false" outlineLevel="0" max="11" min="11" style="0" width="14"/>
    <col collapsed="false" customWidth="true" hidden="false" outlineLevel="0" max="12" min="12" style="0" width="2.42"/>
    <col collapsed="false" customWidth="true" hidden="false" outlineLevel="0" max="13" min="13" style="0" width="2.57"/>
    <col collapsed="false" customWidth="true" hidden="false" outlineLevel="0" max="14" min="14" style="0" width="2.71"/>
    <col collapsed="false" customWidth="true" hidden="false" outlineLevel="0" max="15" min="15" style="0" width="8"/>
    <col collapsed="false" customWidth="true" hidden="false" outlineLevel="0" max="16" min="16" style="0" width="3.71"/>
    <col collapsed="false" customWidth="true" hidden="false" outlineLevel="0" max="17" min="17" style="0" width="12.15"/>
    <col collapsed="false" customWidth="true" hidden="false" outlineLevel="0" max="18" min="18" style="0" width="3.71"/>
    <col collapsed="false" customWidth="true" hidden="false" outlineLevel="0" max="19" min="19" style="0" width="6.43"/>
    <col collapsed="false" customWidth="true" hidden="false" outlineLevel="0" max="20" min="20" style="0" width="3.71"/>
    <col collapsed="false" customWidth="true" hidden="false" outlineLevel="0" max="21" min="21" style="0" width="12.86"/>
    <col collapsed="false" customWidth="true" hidden="false" outlineLevel="0" max="22" min="22" style="0" width="3.71"/>
    <col collapsed="false" customWidth="true" hidden="false" outlineLevel="0" max="23" min="23" style="0" width="9.57"/>
    <col collapsed="false" customWidth="true" hidden="false" outlineLevel="0" max="24" min="24" style="0" width="8.86"/>
    <col collapsed="false" customWidth="true" hidden="false" outlineLevel="0" max="25" min="25" style="0" width="26.71"/>
    <col collapsed="false" customWidth="true" hidden="false" outlineLevel="0" max="26" min="26" style="0" width="5.57"/>
    <col collapsed="false" customWidth="true" hidden="false" outlineLevel="0" max="27" min="27" style="0" width="10.29"/>
    <col collapsed="false" customWidth="true" hidden="false" outlineLevel="0" max="28" min="28" style="0" width="7.71"/>
    <col collapsed="false" customWidth="true" hidden="false" outlineLevel="0" max="29" min="29" style="0" width="2.71"/>
  </cols>
  <sheetData>
    <row r="2" customFormat="false" ht="28.5" hidden="false" customHeight="true" outlineLevel="0" collapsed="false">
      <c r="B2" s="1" t="s">
        <v>0</v>
      </c>
      <c r="C2" s="1"/>
      <c r="D2" s="2" t="s">
        <v>1</v>
      </c>
      <c r="E2" s="2"/>
      <c r="F2" s="2"/>
      <c r="G2" s="2"/>
      <c r="H2" s="2"/>
      <c r="I2" s="2"/>
      <c r="J2" s="2"/>
      <c r="K2" s="2"/>
      <c r="L2" s="3"/>
      <c r="M2" s="3"/>
      <c r="N2" s="3"/>
    </row>
    <row r="3" customFormat="false" ht="28.5" hidden="false" customHeight="true" outlineLevel="0" collapsed="false">
      <c r="B3" s="4" t="s">
        <v>2</v>
      </c>
      <c r="C3" s="4"/>
      <c r="D3" s="5" t="s">
        <v>3</v>
      </c>
      <c r="E3" s="5"/>
      <c r="F3" s="5"/>
      <c r="G3" s="5"/>
      <c r="H3" s="5"/>
      <c r="I3" s="5"/>
      <c r="J3" s="5"/>
      <c r="K3" s="5"/>
      <c r="L3" s="3"/>
      <c r="M3" s="3"/>
      <c r="N3" s="3"/>
    </row>
    <row r="4" customFormat="false" ht="28.5" hidden="false" customHeight="true" outlineLevel="0" collapsed="false">
      <c r="B4" s="6" t="s">
        <v>4</v>
      </c>
      <c r="C4" s="6"/>
      <c r="D4" s="7" t="n">
        <v>46120</v>
      </c>
      <c r="E4" s="7"/>
      <c r="F4" s="7"/>
      <c r="G4" s="7"/>
      <c r="H4" s="7"/>
      <c r="I4" s="8" t="s">
        <v>5</v>
      </c>
      <c r="J4" s="9" t="s">
        <v>6</v>
      </c>
      <c r="K4" s="9"/>
      <c r="L4" s="3"/>
      <c r="M4" s="3"/>
      <c r="N4" s="3"/>
    </row>
    <row r="5" customFormat="false" ht="13.5" hidden="false" customHeight="true" outlineLevel="0" collapsed="false"/>
    <row r="6" customFormat="false" ht="11.25" hidden="false" customHeight="true" outlineLevel="0" collapsed="false">
      <c r="B6" s="10"/>
      <c r="C6" s="11"/>
      <c r="D6" s="11"/>
      <c r="E6" s="11"/>
      <c r="F6" s="11"/>
      <c r="G6" s="11"/>
      <c r="H6" s="12"/>
    </row>
    <row r="7" customFormat="false" ht="21.75" hidden="false" customHeight="true" outlineLevel="0" collapsed="false">
      <c r="B7" s="13"/>
      <c r="C7" s="14" t="s">
        <v>7</v>
      </c>
      <c r="D7" s="14"/>
      <c r="E7" s="14"/>
      <c r="F7" s="14"/>
      <c r="G7" s="14"/>
      <c r="H7" s="15"/>
      <c r="S7" s="16"/>
      <c r="T7" s="16"/>
      <c r="U7" s="16"/>
      <c r="V7" s="16"/>
      <c r="W7" s="16"/>
      <c r="X7" s="16"/>
      <c r="Y7" s="16"/>
      <c r="Z7" s="16"/>
    </row>
    <row r="8" customFormat="false" ht="14.25" hidden="false" customHeight="true" outlineLevel="0" collapsed="false">
      <c r="B8" s="17"/>
      <c r="C8" s="18"/>
      <c r="D8" s="18"/>
      <c r="H8" s="15"/>
      <c r="M8" s="18"/>
      <c r="S8" s="16"/>
      <c r="T8" s="16"/>
      <c r="U8" s="16"/>
      <c r="V8" s="16"/>
      <c r="W8" s="16"/>
      <c r="X8" s="16"/>
      <c r="Y8" s="16"/>
      <c r="Z8" s="16"/>
    </row>
    <row r="9" customFormat="false" ht="18.75" hidden="false" customHeight="true" outlineLevel="0" collapsed="false">
      <c r="B9" s="19"/>
      <c r="C9" s="20" t="s">
        <v>8</v>
      </c>
      <c r="D9" s="20"/>
      <c r="E9" s="20"/>
      <c r="G9" s="21" t="s">
        <v>9</v>
      </c>
      <c r="H9" s="15"/>
      <c r="I9" s="3"/>
      <c r="J9" s="3"/>
      <c r="K9" s="3"/>
      <c r="L9" s="3"/>
      <c r="M9" s="3"/>
      <c r="S9" s="16"/>
      <c r="T9" s="16"/>
      <c r="U9" s="16"/>
      <c r="V9" s="16"/>
      <c r="W9" s="16"/>
      <c r="X9" s="16"/>
      <c r="Y9" s="16"/>
      <c r="Z9" s="16"/>
    </row>
    <row r="10" customFormat="false" ht="27.75" hidden="false" customHeight="true" outlineLevel="0" collapsed="false">
      <c r="B10" s="22"/>
      <c r="C10" s="23" t="s">
        <v>10</v>
      </c>
      <c r="D10" s="23"/>
      <c r="E10" s="23"/>
      <c r="F10" s="24"/>
      <c r="G10" s="25" t="n">
        <v>0.322</v>
      </c>
      <c r="H10" s="15"/>
      <c r="I10" s="25"/>
      <c r="S10" s="16"/>
      <c r="T10" s="16"/>
      <c r="U10" s="16"/>
      <c r="V10" s="16"/>
      <c r="W10" s="16"/>
      <c r="X10" s="16"/>
      <c r="Y10" s="16"/>
      <c r="Z10" s="16"/>
    </row>
    <row r="11" customFormat="false" ht="27.75" hidden="false" customHeight="true" outlineLevel="0" collapsed="false">
      <c r="B11" s="22"/>
      <c r="C11" s="23" t="s">
        <v>11</v>
      </c>
      <c r="D11" s="23"/>
      <c r="E11" s="23"/>
      <c r="F11" s="24"/>
      <c r="G11" s="25" t="n">
        <v>0.218</v>
      </c>
      <c r="H11" s="15"/>
      <c r="I11" s="26"/>
      <c r="S11" s="16"/>
      <c r="T11" s="16"/>
      <c r="U11" s="16"/>
      <c r="V11" s="16"/>
      <c r="W11" s="16"/>
      <c r="X11" s="16"/>
      <c r="Y11" s="16"/>
      <c r="Z11" s="16"/>
    </row>
    <row r="12" customFormat="false" ht="27.75" hidden="false" customHeight="true" outlineLevel="0" collapsed="false">
      <c r="B12" s="22"/>
      <c r="C12" s="23" t="s">
        <v>12</v>
      </c>
      <c r="D12" s="23"/>
      <c r="E12" s="23"/>
      <c r="F12" s="24"/>
      <c r="G12" s="25" t="n">
        <v>0.461</v>
      </c>
      <c r="H12" s="15"/>
      <c r="I12" s="26"/>
      <c r="S12" s="16"/>
      <c r="T12" s="16"/>
      <c r="U12" s="16"/>
      <c r="V12" s="16"/>
      <c r="W12" s="16"/>
      <c r="X12" s="16"/>
      <c r="Y12" s="16"/>
      <c r="Z12" s="16"/>
    </row>
    <row r="13" customFormat="false" ht="11.25" hidden="false" customHeight="true" outlineLevel="0" collapsed="false">
      <c r="B13" s="27"/>
      <c r="C13" s="28"/>
      <c r="D13" s="28"/>
      <c r="E13" s="28"/>
      <c r="F13" s="28"/>
      <c r="G13" s="28"/>
      <c r="H13" s="29"/>
      <c r="S13" s="16"/>
      <c r="T13" s="16"/>
      <c r="U13" s="16"/>
      <c r="V13" s="16"/>
      <c r="W13" s="16"/>
      <c r="X13" s="16"/>
      <c r="Y13" s="16"/>
      <c r="Z13" s="16"/>
    </row>
    <row r="14" customFormat="false" ht="21.75" hidden="false" customHeight="true" outlineLevel="0" collapsed="false"/>
    <row r="15" customFormat="false" ht="11.25" hidden="false" customHeight="true" outlineLevel="0" collapsed="false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customFormat="false" ht="21.75" hidden="false" customHeight="true" outlineLevel="0" collapsed="false">
      <c r="B16" s="13"/>
      <c r="E16" s="30" t="s">
        <v>13</v>
      </c>
      <c r="F16" s="30"/>
      <c r="G16" s="30"/>
      <c r="H16" s="30"/>
      <c r="I16" s="30"/>
      <c r="L16" s="15"/>
    </row>
    <row r="17" customFormat="false" ht="14.25" hidden="false" customHeight="true" outlineLevel="0" collapsed="false">
      <c r="B17" s="13"/>
      <c r="D17" s="18"/>
      <c r="E17" s="18"/>
      <c r="F17" s="18"/>
      <c r="L17" s="15"/>
      <c r="M17" s="18"/>
      <c r="N17" s="31" t="s">
        <v>14</v>
      </c>
      <c r="O17" s="31"/>
      <c r="P17" s="31"/>
      <c r="Q17" s="31"/>
      <c r="R17" s="31"/>
      <c r="S17" s="31"/>
    </row>
    <row r="18" customFormat="false" ht="18.75" hidden="false" customHeight="true" outlineLevel="0" collapsed="false">
      <c r="B18" s="13"/>
      <c r="C18" s="21" t="s">
        <v>15</v>
      </c>
      <c r="D18" s="3"/>
      <c r="E18" s="20" t="s">
        <v>8</v>
      </c>
      <c r="F18" s="20"/>
      <c r="G18" s="20"/>
      <c r="I18" s="21" t="s">
        <v>16</v>
      </c>
      <c r="K18" s="21" t="s">
        <v>17</v>
      </c>
      <c r="L18" s="32"/>
      <c r="M18" s="3"/>
      <c r="N18" s="31"/>
      <c r="O18" s="31"/>
      <c r="P18" s="31"/>
      <c r="Q18" s="31"/>
      <c r="R18" s="31"/>
      <c r="S18" s="31"/>
    </row>
    <row r="19" customFormat="false" ht="27.75" hidden="false" customHeight="true" outlineLevel="0" collapsed="false">
      <c r="B19" s="13"/>
      <c r="C19" s="33" t="s">
        <v>18</v>
      </c>
      <c r="D19" s="34"/>
      <c r="E19" s="35" t="s">
        <v>10</v>
      </c>
      <c r="F19" s="35"/>
      <c r="G19" s="35"/>
      <c r="I19" s="3" t="n">
        <f aca="false">G10</f>
        <v>0.322</v>
      </c>
      <c r="J19" s="3"/>
      <c r="K19" s="3" t="n">
        <f aca="false">I19</f>
        <v>0.322</v>
      </c>
      <c r="L19" s="15"/>
      <c r="N19" s="31"/>
      <c r="O19" s="31"/>
      <c r="P19" s="31"/>
      <c r="Q19" s="31"/>
      <c r="R19" s="31"/>
      <c r="S19" s="31"/>
      <c r="U19" s="3"/>
    </row>
    <row r="20" customFormat="false" ht="27.75" hidden="false" customHeight="true" outlineLevel="0" collapsed="false">
      <c r="B20" s="13"/>
      <c r="C20" s="33" t="s">
        <v>19</v>
      </c>
      <c r="D20" s="34"/>
      <c r="E20" s="36" t="s">
        <v>11</v>
      </c>
      <c r="F20" s="36"/>
      <c r="G20" s="36"/>
      <c r="I20" s="3" t="n">
        <f aca="false">G11</f>
        <v>0.218</v>
      </c>
      <c r="J20" s="3"/>
      <c r="K20" s="3" t="n">
        <f aca="false">I20</f>
        <v>0.218</v>
      </c>
      <c r="L20" s="15"/>
      <c r="N20" s="31"/>
      <c r="O20" s="31"/>
      <c r="P20" s="31"/>
      <c r="Q20" s="31"/>
      <c r="R20" s="31"/>
      <c r="S20" s="31"/>
      <c r="U20" s="3"/>
    </row>
    <row r="21" customFormat="false" ht="27.75" hidden="false" customHeight="true" outlineLevel="0" collapsed="false">
      <c r="B21" s="13"/>
      <c r="C21" s="33" t="s">
        <v>20</v>
      </c>
      <c r="D21" s="34"/>
      <c r="E21" s="36" t="s">
        <v>12</v>
      </c>
      <c r="F21" s="36"/>
      <c r="G21" s="36"/>
      <c r="I21" s="3" t="n">
        <f aca="false">G12</f>
        <v>0.461</v>
      </c>
      <c r="J21" s="3"/>
      <c r="K21" s="3" t="n">
        <f aca="false">I21+0.013</f>
        <v>0.474</v>
      </c>
      <c r="L21" s="15"/>
      <c r="N21" s="37" t="s">
        <v>21</v>
      </c>
      <c r="O21" s="37"/>
      <c r="P21" s="37"/>
      <c r="Q21" s="37"/>
      <c r="R21" s="37"/>
      <c r="S21" s="37"/>
      <c r="U21" s="3"/>
    </row>
    <row r="22" customFormat="false" ht="11.25" hidden="false" customHeight="true" outlineLevel="0" collapsed="false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customFormat="false" ht="12" hidden="false" customHeight="true" outlineLevel="0" collapsed="false">
      <c r="F23" s="3"/>
      <c r="G23" s="3"/>
      <c r="H23" s="3"/>
      <c r="I23" s="3"/>
      <c r="J23" s="3"/>
      <c r="K23" s="3"/>
      <c r="L23" s="3"/>
      <c r="M23" s="3"/>
    </row>
    <row r="24" customFormat="false" ht="24.75" hidden="false" customHeight="true" outlineLevel="0" collapsed="false">
      <c r="F24" s="3"/>
      <c r="G24" s="3"/>
      <c r="H24" s="3"/>
      <c r="I24" s="3"/>
      <c r="J24" s="3"/>
      <c r="K24" s="3"/>
      <c r="L24" s="3"/>
      <c r="M24" s="3"/>
      <c r="O24" s="38" t="s">
        <v>22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customFormat="false" ht="13.5" hidden="false" customHeight="true" outlineLevel="0" collapsed="false">
      <c r="H25" s="39"/>
      <c r="I25" s="40"/>
      <c r="J25" s="40"/>
      <c r="K25" s="40"/>
      <c r="L25" s="41"/>
      <c r="M25" s="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customFormat="false" ht="24.75" hidden="false" customHeight="true" outlineLevel="0" collapsed="false">
      <c r="H26" s="19"/>
      <c r="I26" s="42" t="s">
        <v>23</v>
      </c>
      <c r="J26" s="42"/>
      <c r="K26" s="42"/>
      <c r="L26" s="32"/>
      <c r="M26" s="3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customFormat="false" ht="13.5" hidden="false" customHeight="true" outlineLevel="0" collapsed="false">
      <c r="H27" s="19"/>
      <c r="I27" s="3"/>
      <c r="J27" s="3"/>
      <c r="K27" s="3"/>
      <c r="L27" s="32"/>
      <c r="M27" s="3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customFormat="false" ht="24.75" hidden="false" customHeight="true" outlineLevel="0" collapsed="false">
      <c r="H28" s="19"/>
      <c r="I28" s="43" t="s">
        <v>24</v>
      </c>
      <c r="J28" s="44"/>
      <c r="K28" s="43" t="s">
        <v>25</v>
      </c>
      <c r="L28" s="32"/>
      <c r="M28" s="3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customFormat="false" ht="24.75" hidden="false" customHeight="true" outlineLevel="0" collapsed="false">
      <c r="H29" s="19"/>
      <c r="I29" s="45" t="n">
        <v>1.07</v>
      </c>
      <c r="J29" s="3"/>
      <c r="K29" s="3" t="n">
        <v>5.8</v>
      </c>
      <c r="L29" s="32"/>
      <c r="M29" s="3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customFormat="false" ht="24.75" hidden="false" customHeight="true" outlineLevel="0" collapsed="false">
      <c r="H30" s="19"/>
      <c r="I30" s="45" t="n">
        <v>2</v>
      </c>
      <c r="J30" s="3"/>
      <c r="K30" s="3" t="n">
        <v>6.4</v>
      </c>
      <c r="L30" s="32"/>
      <c r="M30" s="3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customFormat="false" ht="24.75" hidden="false" customHeight="true" outlineLevel="0" collapsed="false">
      <c r="H31" s="19"/>
      <c r="I31" s="45" t="n">
        <v>3</v>
      </c>
      <c r="J31" s="3"/>
      <c r="K31" s="3" t="n">
        <v>7.1</v>
      </c>
      <c r="L31" s="32"/>
      <c r="M31" s="3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customFormat="false" ht="24.75" hidden="false" customHeight="true" outlineLevel="0" collapsed="false">
      <c r="H32" s="19"/>
      <c r="I32" s="45" t="n">
        <v>4</v>
      </c>
      <c r="J32" s="3"/>
      <c r="K32" s="3" t="n">
        <v>7.8</v>
      </c>
      <c r="L32" s="32"/>
      <c r="M32" s="3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customFormat="false" ht="24.75" hidden="false" customHeight="true" outlineLevel="0" collapsed="false">
      <c r="H33" s="19"/>
      <c r="I33" s="45" t="n">
        <v>5</v>
      </c>
      <c r="J33" s="3"/>
      <c r="K33" s="3" t="n">
        <v>8.4</v>
      </c>
      <c r="L33" s="32"/>
      <c r="M33" s="3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customFormat="false" ht="24.75" hidden="false" customHeight="true" outlineLevel="0" collapsed="false">
      <c r="F34" s="3"/>
      <c r="G34" s="3"/>
      <c r="H34" s="19"/>
      <c r="I34" s="45" t="n">
        <v>6</v>
      </c>
      <c r="J34" s="3"/>
      <c r="K34" s="3" t="n">
        <v>9.1</v>
      </c>
      <c r="L34" s="32"/>
      <c r="M34" s="3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customFormat="false" ht="24.75" hidden="false" customHeight="true" outlineLevel="0" collapsed="false">
      <c r="F35" s="3"/>
      <c r="G35" s="3"/>
      <c r="H35" s="19"/>
      <c r="I35" s="45" t="n">
        <v>7</v>
      </c>
      <c r="J35" s="3"/>
      <c r="K35" s="3" t="n">
        <v>9.7</v>
      </c>
      <c r="L35" s="32"/>
      <c r="M35" s="3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customFormat="false" ht="24.75" hidden="false" customHeight="true" outlineLevel="0" collapsed="false">
      <c r="F36" s="3"/>
      <c r="G36" s="3"/>
      <c r="H36" s="19"/>
      <c r="I36" s="45" t="n">
        <v>8</v>
      </c>
      <c r="J36" s="3"/>
      <c r="K36" s="3" t="n">
        <v>10.4</v>
      </c>
      <c r="L36" s="32"/>
      <c r="M36" s="3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customFormat="false" ht="24.75" hidden="false" customHeight="true" outlineLevel="0" collapsed="false">
      <c r="F37" s="3"/>
      <c r="G37" s="3"/>
      <c r="H37" s="19"/>
      <c r="I37" s="45" t="n">
        <v>9</v>
      </c>
      <c r="J37" s="3"/>
      <c r="K37" s="3" t="n">
        <v>11.1</v>
      </c>
      <c r="L37" s="32"/>
      <c r="M37" s="3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customFormat="false" ht="24.75" hidden="false" customHeight="true" outlineLevel="0" collapsed="false">
      <c r="F38" s="3"/>
      <c r="G38" s="3"/>
      <c r="H38" s="19"/>
      <c r="I38" s="45" t="n">
        <v>10</v>
      </c>
      <c r="J38" s="3"/>
      <c r="K38" s="3" t="n">
        <v>11.7</v>
      </c>
      <c r="L38" s="32"/>
      <c r="M38" s="3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customFormat="false" ht="15" hidden="false" customHeight="false" outlineLevel="0" collapsed="false">
      <c r="H39" s="46"/>
      <c r="I39" s="21"/>
      <c r="J39" s="21"/>
      <c r="K39" s="21"/>
      <c r="L39" s="47"/>
    </row>
    <row r="40" customFormat="false" ht="13.5" hidden="false" customHeight="true" outlineLevel="0" collapsed="false">
      <c r="F40" s="3"/>
      <c r="G40" s="3"/>
      <c r="H40" s="3"/>
      <c r="I40" s="3"/>
      <c r="J40" s="3"/>
      <c r="K40" s="3"/>
      <c r="L40" s="3"/>
      <c r="M40" s="3"/>
      <c r="N40" s="39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1"/>
    </row>
    <row r="41" customFormat="false" ht="15" hidden="false" customHeight="false" outlineLevel="0" collapsed="false">
      <c r="F41" s="3"/>
      <c r="G41" s="3"/>
      <c r="H41" s="3"/>
      <c r="I41" s="3"/>
      <c r="J41" s="3"/>
      <c r="K41" s="3"/>
      <c r="L41" s="3"/>
      <c r="M41" s="3"/>
      <c r="N41" s="19"/>
      <c r="O41" s="48" t="s">
        <v>26</v>
      </c>
      <c r="P41" s="48"/>
      <c r="Q41" s="48"/>
      <c r="R41" s="48"/>
      <c r="S41" s="48"/>
      <c r="T41" s="48"/>
      <c r="U41" s="48"/>
      <c r="V41" s="49"/>
      <c r="W41" s="3"/>
      <c r="X41" s="3"/>
      <c r="Y41" s="3"/>
      <c r="Z41" s="3"/>
      <c r="AA41" s="3"/>
      <c r="AB41" s="3"/>
      <c r="AC41" s="32"/>
    </row>
    <row r="42" customFormat="false" ht="9.75" hidden="false" customHeight="true" outlineLevel="0" collapsed="false">
      <c r="F42" s="3"/>
      <c r="G42" s="3"/>
      <c r="H42" s="3"/>
      <c r="I42" s="3"/>
      <c r="J42" s="3"/>
      <c r="K42" s="3"/>
      <c r="L42" s="3"/>
      <c r="M42" s="3"/>
      <c r="N42" s="19"/>
      <c r="O42" s="49"/>
      <c r="P42" s="49"/>
      <c r="Q42" s="49"/>
      <c r="R42" s="49"/>
      <c r="S42" s="49"/>
      <c r="T42" s="49"/>
      <c r="U42" s="49"/>
      <c r="V42" s="49"/>
      <c r="W42" s="3"/>
      <c r="X42" s="3"/>
      <c r="Y42" s="3"/>
      <c r="Z42" s="3"/>
      <c r="AA42" s="3"/>
      <c r="AB42" s="3"/>
      <c r="AC42" s="32"/>
    </row>
    <row r="43" customFormat="false" ht="15" hidden="false" customHeight="false" outlineLevel="0" collapsed="false">
      <c r="F43" s="3"/>
      <c r="G43" s="3"/>
      <c r="H43" s="3"/>
      <c r="I43" s="3"/>
      <c r="J43" s="3"/>
      <c r="K43" s="50" t="n">
        <f aca="false">INTERCEPT(K29:K38,I29:I38)</f>
        <v>5.10149792835149</v>
      </c>
      <c r="L43" s="3"/>
      <c r="M43" s="3"/>
      <c r="N43" s="19"/>
      <c r="O43" s="51" t="s">
        <v>27</v>
      </c>
      <c r="P43" s="51"/>
      <c r="Q43" s="51"/>
      <c r="R43" s="51"/>
      <c r="S43" s="51"/>
      <c r="T43" s="51"/>
      <c r="U43" s="51"/>
      <c r="V43" s="49"/>
      <c r="W43" s="3"/>
      <c r="X43" s="3"/>
      <c r="Y43" s="3"/>
      <c r="Z43" s="3"/>
      <c r="AA43" s="3"/>
      <c r="AB43" s="3"/>
      <c r="AC43" s="32"/>
    </row>
    <row r="44" customFormat="false" ht="9.75" hidden="false" customHeight="true" outlineLevel="0" collapsed="false">
      <c r="F44" s="3"/>
      <c r="G44" s="3"/>
      <c r="H44" s="3"/>
      <c r="I44" s="3"/>
      <c r="J44" s="3"/>
      <c r="K44" s="50"/>
      <c r="L44" s="3"/>
      <c r="M44" s="3"/>
      <c r="N44" s="19"/>
      <c r="O44" s="49"/>
      <c r="P44" s="49"/>
      <c r="Q44" s="49"/>
      <c r="R44" s="49"/>
      <c r="S44" s="49"/>
      <c r="T44" s="49"/>
      <c r="U44" s="49"/>
      <c r="V44" s="49"/>
      <c r="W44" s="3"/>
      <c r="X44" s="3"/>
      <c r="Y44" s="3"/>
      <c r="Z44" s="3"/>
      <c r="AA44" s="3"/>
      <c r="AB44" s="3"/>
      <c r="AC44" s="32"/>
    </row>
    <row r="45" customFormat="false" ht="21.75" hidden="false" customHeight="true" outlineLevel="0" collapsed="false">
      <c r="F45" s="3"/>
      <c r="G45" s="3"/>
      <c r="H45" s="3"/>
      <c r="I45" s="3"/>
      <c r="J45" s="3"/>
      <c r="K45" s="52" t="n">
        <f aca="false">SLOPE(K29:K38,I29:I38)</f>
        <v>0.662520804730074</v>
      </c>
      <c r="L45" s="3"/>
      <c r="M45" s="3"/>
      <c r="N45" s="19"/>
      <c r="O45" s="53" t="s">
        <v>28</v>
      </c>
      <c r="P45" s="3" t="s">
        <v>29</v>
      </c>
      <c r="Q45" s="54" t="s">
        <v>30</v>
      </c>
      <c r="R45" s="54"/>
      <c r="S45" s="54"/>
      <c r="T45" s="3" t="s">
        <v>29</v>
      </c>
      <c r="U45" s="55" t="str">
        <f aca="false">"(" &amp;K19 &amp; X49 &amp; ")(" &amp; K20 &amp; X49 &amp; ") + (" &amp; K19 &amp; X49 &amp; ")(" &amp; K21 &amp; X49 &amp; ") + (" &amp; K20 &amp; X49 &amp; ")(" &amp; K21 &amp; X49 &amp; ")"</f>
        <v>(0.322 kΩ)(0.218 kΩ) + (0.322 kΩ)(0.474 kΩ) + (0.218 kΩ)(0.474 kΩ)</v>
      </c>
      <c r="V45" s="55"/>
      <c r="W45" s="55"/>
      <c r="X45" s="55"/>
      <c r="Y45" s="55"/>
      <c r="Z45" s="3" t="s">
        <v>29</v>
      </c>
      <c r="AA45" s="56" t="n">
        <f aca="false">K19*K21 + K19*K20+ K20*K21</f>
        <v>0.326156</v>
      </c>
      <c r="AB45" s="44" t="s">
        <v>31</v>
      </c>
      <c r="AC45" s="32"/>
    </row>
    <row r="46" customFormat="false" ht="21.75" hidden="false" customHeight="true" outlineLevel="0" collapsed="false">
      <c r="F46" s="3"/>
      <c r="G46" s="3"/>
      <c r="H46" s="3"/>
      <c r="I46" s="3"/>
      <c r="J46" s="3"/>
      <c r="K46" s="50" t="str">
        <f aca="false">"0.0000"</f>
        <v>0.0000</v>
      </c>
      <c r="L46" s="3"/>
      <c r="M46" s="3"/>
      <c r="N46" s="19"/>
      <c r="O46" s="5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2"/>
    </row>
    <row r="47" customFormat="false" ht="21.75" hidden="false" customHeight="true" outlineLevel="0" collapsed="false">
      <c r="F47" s="3"/>
      <c r="G47" s="3"/>
      <c r="H47" s="3"/>
      <c r="I47" s="3"/>
      <c r="J47" s="3"/>
      <c r="K47" s="3"/>
      <c r="L47" s="3"/>
      <c r="M47" s="3"/>
      <c r="N47" s="19"/>
      <c r="O47" s="51" t="s">
        <v>32</v>
      </c>
      <c r="P47" s="51"/>
      <c r="Q47" s="51"/>
      <c r="R47" s="51"/>
      <c r="S47" s="51"/>
      <c r="T47" s="51"/>
      <c r="U47" s="51"/>
      <c r="V47" s="3"/>
      <c r="W47" s="3"/>
      <c r="X47" s="3"/>
      <c r="Y47" s="3"/>
      <c r="Z47" s="3"/>
      <c r="AA47" s="3"/>
      <c r="AB47" s="3"/>
      <c r="AC47" s="32"/>
    </row>
    <row r="48" customFormat="false" ht="9.75" hidden="false" customHeight="true" outlineLevel="0" collapsed="false">
      <c r="F48" s="3"/>
      <c r="G48" s="3"/>
      <c r="H48" s="3"/>
      <c r="I48" s="3"/>
      <c r="J48" s="3"/>
      <c r="K48" s="3"/>
      <c r="L48" s="3"/>
      <c r="M48" s="3"/>
      <c r="N48" s="1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2"/>
    </row>
    <row r="49" customFormat="false" ht="22.5" hidden="false" customHeight="true" outlineLevel="0" collapsed="false">
      <c r="F49" s="3"/>
      <c r="G49" s="3"/>
      <c r="H49" s="3"/>
      <c r="I49" s="3"/>
      <c r="J49" s="3"/>
      <c r="K49" s="3"/>
      <c r="L49" s="3"/>
      <c r="M49" s="3"/>
      <c r="N49" s="19"/>
      <c r="O49" s="58" t="s">
        <v>33</v>
      </c>
      <c r="P49" s="42" t="s">
        <v>29</v>
      </c>
      <c r="Q49" s="59" t="s">
        <v>19</v>
      </c>
      <c r="R49" s="42" t="s">
        <v>29</v>
      </c>
      <c r="S49" s="60" t="str">
        <f aca="false">"(" &amp; K20 &amp; X49 &amp; ")"</f>
        <v>(0.218 kΩ)</v>
      </c>
      <c r="T49" s="60"/>
      <c r="U49" s="60"/>
      <c r="V49" s="42" t="s">
        <v>29</v>
      </c>
      <c r="W49" s="61" t="n">
        <f aca="false">K20/AA45</f>
        <v>0.668391812506899</v>
      </c>
      <c r="X49" s="42" t="str">
        <f aca="false">" kΩ"</f>
        <v> kΩ</v>
      </c>
      <c r="Y49" s="3"/>
      <c r="Z49" s="3"/>
      <c r="AA49" s="3"/>
      <c r="AB49" s="62"/>
      <c r="AC49" s="32"/>
    </row>
    <row r="50" customFormat="false" ht="22.5" hidden="false" customHeight="true" outlineLevel="0" collapsed="false">
      <c r="F50" s="3"/>
      <c r="G50" s="3"/>
      <c r="H50" s="3"/>
      <c r="I50" s="3"/>
      <c r="J50" s="3"/>
      <c r="K50" s="3"/>
      <c r="L50" s="3"/>
      <c r="M50" s="3"/>
      <c r="N50" s="19"/>
      <c r="O50" s="58"/>
      <c r="P50" s="42"/>
      <c r="Q50" s="53" t="s">
        <v>28</v>
      </c>
      <c r="R50" s="42"/>
      <c r="S50" s="42" t="str">
        <f aca="false">TEXT(AA45, K46) &amp; AB45</f>
        <v>0.3262 (kΩ)2</v>
      </c>
      <c r="T50" s="42"/>
      <c r="U50" s="42"/>
      <c r="V50" s="42"/>
      <c r="W50" s="61"/>
      <c r="X50" s="42"/>
      <c r="Y50" s="3"/>
      <c r="Z50" s="3"/>
      <c r="AA50" s="3"/>
      <c r="AB50" s="62"/>
      <c r="AC50" s="32"/>
    </row>
    <row r="51" customFormat="false" ht="9.75" hidden="false" customHeight="true" outlineLevel="0" collapsed="false">
      <c r="F51" s="3"/>
      <c r="G51" s="3"/>
      <c r="H51" s="3"/>
      <c r="I51" s="3"/>
      <c r="J51" s="3"/>
      <c r="K51" s="3"/>
      <c r="L51" s="3"/>
      <c r="M51" s="3"/>
      <c r="N51" s="19"/>
      <c r="O51" s="63"/>
      <c r="P51" s="3"/>
      <c r="Q51" s="53"/>
      <c r="R51" s="3"/>
      <c r="S51" s="3"/>
      <c r="T51" s="3"/>
      <c r="U51" s="3"/>
      <c r="V51" s="3"/>
      <c r="W51" s="64"/>
      <c r="X51" s="3"/>
      <c r="Y51" s="3"/>
      <c r="Z51" s="3"/>
      <c r="AA51" s="3"/>
      <c r="AB51" s="62"/>
      <c r="AC51" s="32"/>
    </row>
    <row r="52" customFormat="false" ht="22.5" hidden="false" customHeight="true" outlineLevel="0" collapsed="false">
      <c r="F52" s="3"/>
      <c r="G52" s="3"/>
      <c r="H52" s="3"/>
      <c r="I52" s="3"/>
      <c r="J52" s="3"/>
      <c r="K52" s="3"/>
      <c r="L52" s="3"/>
      <c r="M52" s="3"/>
      <c r="N52" s="19"/>
      <c r="O52" s="58" t="s">
        <v>34</v>
      </c>
      <c r="P52" s="42" t="s">
        <v>29</v>
      </c>
      <c r="Q52" s="65" t="s">
        <v>35</v>
      </c>
      <c r="R52" s="42" t="s">
        <v>29</v>
      </c>
      <c r="S52" s="60" t="str">
        <f aca="false">"(" &amp; TEXT(K45, K46) &amp; X49 &amp; ") - (" &amp; TEXT(W49,K46) &amp; X49 &amp; ")"</f>
        <v>(0.6625 kΩ) - (0.6684 kΩ)</v>
      </c>
      <c r="T52" s="60"/>
      <c r="U52" s="60"/>
      <c r="V52" s="42" t="s">
        <v>29</v>
      </c>
      <c r="W52" s="66" t="n">
        <f aca="false">(K45-W49)/(W49)</f>
        <v>-0.00878378170852327</v>
      </c>
      <c r="X52" s="3"/>
      <c r="Y52" s="3"/>
      <c r="Z52" s="3"/>
      <c r="AA52" s="3"/>
      <c r="AB52" s="62"/>
      <c r="AC52" s="32"/>
    </row>
    <row r="53" customFormat="false" ht="22.5" hidden="false" customHeight="true" outlineLevel="0" collapsed="false">
      <c r="F53" s="3"/>
      <c r="G53" s="3"/>
      <c r="H53" s="3"/>
      <c r="I53" s="3"/>
      <c r="J53" s="3"/>
      <c r="K53" s="3"/>
      <c r="L53" s="3"/>
      <c r="M53" s="3"/>
      <c r="N53" s="19"/>
      <c r="O53" s="58"/>
      <c r="P53" s="42"/>
      <c r="Q53" s="67" t="s">
        <v>36</v>
      </c>
      <c r="R53" s="42"/>
      <c r="S53" s="42" t="str">
        <f aca="false">"(" &amp; TEXT(W49,K46) &amp; X49 &amp; ")"</f>
        <v>(0.6684 kΩ)</v>
      </c>
      <c r="T53" s="42"/>
      <c r="U53" s="42"/>
      <c r="V53" s="42"/>
      <c r="W53" s="66"/>
      <c r="X53" s="3"/>
      <c r="Y53" s="3"/>
      <c r="Z53" s="3"/>
      <c r="AA53" s="3"/>
      <c r="AB53" s="62"/>
      <c r="AC53" s="32"/>
    </row>
    <row r="54" customFormat="false" ht="22.5" hidden="false" customHeight="true" outlineLevel="0" collapsed="false">
      <c r="F54" s="3"/>
      <c r="G54" s="3"/>
      <c r="H54" s="3"/>
      <c r="I54" s="3"/>
      <c r="J54" s="3"/>
      <c r="K54" s="3"/>
      <c r="L54" s="3"/>
      <c r="M54" s="3"/>
      <c r="N54" s="19"/>
      <c r="O54" s="3"/>
      <c r="P54" s="3"/>
      <c r="Q54" s="3"/>
      <c r="R54" s="3"/>
      <c r="S54" s="3"/>
      <c r="T54" s="3"/>
      <c r="U54" s="3"/>
      <c r="V54" s="3"/>
      <c r="W54" s="64"/>
      <c r="X54" s="3"/>
      <c r="Y54" s="3"/>
      <c r="Z54" s="3"/>
      <c r="AA54" s="62"/>
      <c r="AB54" s="62"/>
      <c r="AC54" s="32"/>
    </row>
    <row r="55" customFormat="false" ht="21.75" hidden="false" customHeight="true" outlineLevel="0" collapsed="false">
      <c r="F55" s="3"/>
      <c r="G55" s="3"/>
      <c r="H55" s="3"/>
      <c r="I55" s="3"/>
      <c r="J55" s="3"/>
      <c r="K55" s="3"/>
      <c r="L55" s="3"/>
      <c r="M55" s="3"/>
      <c r="N55" s="19"/>
      <c r="O55" s="51" t="s">
        <v>37</v>
      </c>
      <c r="P55" s="51"/>
      <c r="Q55" s="51"/>
      <c r="R55" s="51"/>
      <c r="S55" s="51"/>
      <c r="T55" s="51"/>
      <c r="U55" s="51"/>
      <c r="V55" s="3"/>
      <c r="W55" s="64"/>
      <c r="X55" s="3"/>
      <c r="Y55" s="3"/>
      <c r="Z55" s="3"/>
      <c r="AA55" s="3"/>
      <c r="AB55" s="3"/>
      <c r="AC55" s="32"/>
    </row>
    <row r="56" customFormat="false" ht="9.75" hidden="false" customHeight="true" outlineLevel="0" collapsed="false">
      <c r="F56" s="3"/>
      <c r="G56" s="3"/>
      <c r="H56" s="3"/>
      <c r="I56" s="3"/>
      <c r="J56" s="3"/>
      <c r="K56" s="3"/>
      <c r="L56" s="3"/>
      <c r="M56" s="3"/>
      <c r="N56" s="19"/>
      <c r="O56" s="3"/>
      <c r="P56" s="3"/>
      <c r="Q56" s="3"/>
      <c r="R56" s="3"/>
      <c r="S56" s="3"/>
      <c r="T56" s="3"/>
      <c r="U56" s="3"/>
      <c r="V56" s="3"/>
      <c r="W56" s="64"/>
      <c r="X56" s="3"/>
      <c r="Y56" s="3"/>
      <c r="Z56" s="3"/>
      <c r="AA56" s="3"/>
      <c r="AB56" s="3"/>
      <c r="AC56" s="32"/>
    </row>
    <row r="57" customFormat="false" ht="22.5" hidden="false" customHeight="true" outlineLevel="0" collapsed="false">
      <c r="F57" s="3"/>
      <c r="G57" s="3"/>
      <c r="H57" s="3"/>
      <c r="I57" s="3"/>
      <c r="J57" s="3"/>
      <c r="K57" s="3"/>
      <c r="L57" s="3"/>
      <c r="M57" s="3"/>
      <c r="N57" s="19"/>
      <c r="O57" s="58" t="s">
        <v>38</v>
      </c>
      <c r="P57" s="42" t="s">
        <v>29</v>
      </c>
      <c r="Q57" s="59" t="s">
        <v>39</v>
      </c>
      <c r="R57" s="42" t="s">
        <v>29</v>
      </c>
      <c r="S57" s="60" t="str">
        <f aca="false">"(" &amp; K19 &amp; X49 &amp; ")( 5.00" &amp; X57 &amp;")"</f>
        <v>(0.322 kΩ)( 5.00 V)</v>
      </c>
      <c r="T57" s="60"/>
      <c r="U57" s="60"/>
      <c r="V57" s="42" t="s">
        <v>29</v>
      </c>
      <c r="W57" s="61" t="n">
        <f aca="false">G10 * 5 / AA45</f>
        <v>4.93628815658765</v>
      </c>
      <c r="X57" s="42" t="str">
        <f aca="false">" V"</f>
        <v> V</v>
      </c>
      <c r="Y57" s="3"/>
      <c r="Z57" s="3"/>
      <c r="AA57" s="3"/>
      <c r="AB57" s="62"/>
      <c r="AC57" s="32"/>
    </row>
    <row r="58" customFormat="false" ht="22.5" hidden="false" customHeight="true" outlineLevel="0" collapsed="false">
      <c r="F58" s="3"/>
      <c r="G58" s="3"/>
      <c r="H58" s="3"/>
      <c r="I58" s="3"/>
      <c r="J58" s="3"/>
      <c r="K58" s="3"/>
      <c r="L58" s="3"/>
      <c r="M58" s="3"/>
      <c r="N58" s="19"/>
      <c r="O58" s="58"/>
      <c r="P58" s="42"/>
      <c r="Q58" s="53" t="s">
        <v>28</v>
      </c>
      <c r="R58" s="42"/>
      <c r="S58" s="42" t="str">
        <f aca="false">S50</f>
        <v>0.3262 (kΩ)2</v>
      </c>
      <c r="T58" s="42"/>
      <c r="U58" s="42"/>
      <c r="V58" s="42"/>
      <c r="W58" s="61"/>
      <c r="X58" s="42"/>
      <c r="Y58" s="3"/>
      <c r="Z58" s="3"/>
      <c r="AA58" s="3"/>
      <c r="AB58" s="62"/>
      <c r="AC58" s="32"/>
    </row>
    <row r="59" customFormat="false" ht="9.75" hidden="false" customHeight="true" outlineLevel="0" collapsed="false">
      <c r="F59" s="3"/>
      <c r="G59" s="3"/>
      <c r="H59" s="3"/>
      <c r="I59" s="3"/>
      <c r="J59" s="3"/>
      <c r="K59" s="3"/>
      <c r="L59" s="3"/>
      <c r="M59" s="3"/>
      <c r="N59" s="19"/>
      <c r="O59" s="63"/>
      <c r="P59" s="3"/>
      <c r="Q59" s="53"/>
      <c r="R59" s="3"/>
      <c r="S59" s="3"/>
      <c r="T59" s="3"/>
      <c r="U59" s="3"/>
      <c r="V59" s="3"/>
      <c r="W59" s="64"/>
      <c r="X59" s="3"/>
      <c r="Y59" s="3"/>
      <c r="Z59" s="3"/>
      <c r="AA59" s="3"/>
      <c r="AB59" s="62"/>
      <c r="AC59" s="32"/>
    </row>
    <row r="60" customFormat="false" ht="22.5" hidden="false" customHeight="true" outlineLevel="0" collapsed="false">
      <c r="F60" s="3"/>
      <c r="G60" s="3"/>
      <c r="H60" s="3"/>
      <c r="I60" s="3"/>
      <c r="J60" s="3"/>
      <c r="K60" s="3"/>
      <c r="L60" s="3"/>
      <c r="M60" s="3"/>
      <c r="N60" s="19"/>
      <c r="O60" s="58" t="s">
        <v>34</v>
      </c>
      <c r="P60" s="42" t="s">
        <v>29</v>
      </c>
      <c r="Q60" s="65" t="s">
        <v>35</v>
      </c>
      <c r="R60" s="42" t="s">
        <v>29</v>
      </c>
      <c r="S60" s="60" t="str">
        <f aca="false">"("&amp;TEXT(K43,K46)&amp;X57&amp;") - (" &amp; TEXT(W57,K46) &amp; X57 &amp;")"</f>
        <v>(5.1015 V) - (4.9363 V)</v>
      </c>
      <c r="T60" s="60"/>
      <c r="U60" s="60"/>
      <c r="V60" s="42" t="s">
        <v>29</v>
      </c>
      <c r="W60" s="66" t="n">
        <f aca="false">(K43-W57)/(W57)</f>
        <v>0.0334684213164018</v>
      </c>
      <c r="X60" s="3"/>
      <c r="Y60" s="3"/>
      <c r="Z60" s="3"/>
      <c r="AA60" s="3"/>
      <c r="AB60" s="62"/>
      <c r="AC60" s="32"/>
    </row>
    <row r="61" customFormat="false" ht="22.5" hidden="false" customHeight="true" outlineLevel="0" collapsed="false">
      <c r="F61" s="3"/>
      <c r="G61" s="3"/>
      <c r="H61" s="3"/>
      <c r="I61" s="3"/>
      <c r="J61" s="3"/>
      <c r="K61" s="3"/>
      <c r="L61" s="3"/>
      <c r="M61" s="3"/>
      <c r="N61" s="19"/>
      <c r="O61" s="58"/>
      <c r="P61" s="42"/>
      <c r="Q61" s="67" t="s">
        <v>36</v>
      </c>
      <c r="R61" s="42"/>
      <c r="S61" s="68" t="str">
        <f aca="false">"(" &amp; TEXT(W57,K46) &amp; X57 &amp;")"</f>
        <v>(4.9363 V)</v>
      </c>
      <c r="T61" s="68"/>
      <c r="U61" s="68"/>
      <c r="V61" s="42"/>
      <c r="W61" s="66"/>
      <c r="X61" s="3"/>
      <c r="Y61" s="3"/>
      <c r="Z61" s="3"/>
      <c r="AA61" s="3"/>
      <c r="AB61" s="62"/>
      <c r="AC61" s="32"/>
    </row>
    <row r="62" customFormat="false" ht="9.75" hidden="false" customHeight="true" outlineLevel="0" collapsed="false">
      <c r="F62" s="3"/>
      <c r="G62" s="3"/>
      <c r="H62" s="3"/>
      <c r="I62" s="3"/>
      <c r="J62" s="3"/>
      <c r="K62" s="3"/>
      <c r="L62" s="3"/>
      <c r="M62" s="3"/>
      <c r="N62" s="4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47"/>
    </row>
    <row r="63" customFormat="false" ht="15" hidden="false" customHeight="false" outlineLevel="0" collapsed="false">
      <c r="F63" s="3"/>
      <c r="G63" s="3"/>
      <c r="H63" s="3"/>
      <c r="I63" s="3"/>
      <c r="J63" s="3"/>
      <c r="K63" s="3"/>
      <c r="L63" s="3"/>
      <c r="M63" s="3"/>
    </row>
  </sheetData>
  <mergeCells count="57">
    <mergeCell ref="B2:C2"/>
    <mergeCell ref="D2:K2"/>
    <mergeCell ref="B3:C3"/>
    <mergeCell ref="D3:K3"/>
    <mergeCell ref="B4:C4"/>
    <mergeCell ref="D4:H4"/>
    <mergeCell ref="J4:K4"/>
    <mergeCell ref="C7:G7"/>
    <mergeCell ref="C9:E9"/>
    <mergeCell ref="C10:E10"/>
    <mergeCell ref="C11:E11"/>
    <mergeCell ref="C12:E12"/>
    <mergeCell ref="E16:I16"/>
    <mergeCell ref="N17:S20"/>
    <mergeCell ref="E18:G18"/>
    <mergeCell ref="E19:G19"/>
    <mergeCell ref="E20:G20"/>
    <mergeCell ref="E21:G21"/>
    <mergeCell ref="N21:S21"/>
    <mergeCell ref="O24:AB38"/>
    <mergeCell ref="I26:K26"/>
    <mergeCell ref="O41:U41"/>
    <mergeCell ref="O43:U43"/>
    <mergeCell ref="Q45:S45"/>
    <mergeCell ref="U45:Y45"/>
    <mergeCell ref="O47:U47"/>
    <mergeCell ref="O49:O50"/>
    <mergeCell ref="P49:P50"/>
    <mergeCell ref="R49:R50"/>
    <mergeCell ref="S49:U49"/>
    <mergeCell ref="V49:V50"/>
    <mergeCell ref="W49:W50"/>
    <mergeCell ref="X49:X50"/>
    <mergeCell ref="S50:U50"/>
    <mergeCell ref="O52:O53"/>
    <mergeCell ref="P52:P53"/>
    <mergeCell ref="R52:R53"/>
    <mergeCell ref="S52:U52"/>
    <mergeCell ref="V52:V53"/>
    <mergeCell ref="W52:W53"/>
    <mergeCell ref="S53:U53"/>
    <mergeCell ref="O55:U55"/>
    <mergeCell ref="O57:O58"/>
    <mergeCell ref="P57:P58"/>
    <mergeCell ref="R57:R58"/>
    <mergeCell ref="S57:U57"/>
    <mergeCell ref="V57:V58"/>
    <mergeCell ref="W57:W58"/>
    <mergeCell ref="X57:X58"/>
    <mergeCell ref="S58:U58"/>
    <mergeCell ref="O60:O61"/>
    <mergeCell ref="P60:P61"/>
    <mergeCell ref="R60:R61"/>
    <mergeCell ref="S60:U60"/>
    <mergeCell ref="V60:V61"/>
    <mergeCell ref="W60:W61"/>
    <mergeCell ref="S61:U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C63"/>
  <sheetViews>
    <sheetView showFormulas="false" showGridLines="true" showRowColHeaders="true" showZeros="true" rightToLeft="false" tabSelected="true" showOutlineSymbols="true" defaultGridColor="true" view="normal" topLeftCell="E56" colorId="64" zoomScale="84" zoomScaleNormal="84" zoomScalePageLayoutView="100" workbookViewId="0">
      <selection pane="topLeft" activeCell="E17" activeCellId="0" sqref="E17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.42"/>
    <col collapsed="false" customWidth="true" hidden="false" outlineLevel="0" max="3" min="3" style="0" width="9.57"/>
    <col collapsed="false" customWidth="true" hidden="false" outlineLevel="0" max="4" min="4" style="0" width="2.42"/>
    <col collapsed="false" customWidth="true" hidden="false" outlineLevel="0" max="5" min="5" style="0" width="9.57"/>
    <col collapsed="false" customWidth="true" hidden="false" outlineLevel="0" max="6" min="6" style="0" width="2.42"/>
    <col collapsed="false" customWidth="true" hidden="false" outlineLevel="0" max="7" min="7" style="0" width="9.57"/>
    <col collapsed="false" customWidth="true" hidden="false" outlineLevel="0" max="8" min="8" style="0" width="2.42"/>
    <col collapsed="false" customWidth="true" hidden="false" outlineLevel="0" max="9" min="9" style="0" width="14"/>
    <col collapsed="false" customWidth="true" hidden="false" outlineLevel="0" max="10" min="10" style="0" width="2.42"/>
    <col collapsed="false" customWidth="true" hidden="false" outlineLevel="0" max="11" min="11" style="0" width="14"/>
    <col collapsed="false" customWidth="true" hidden="false" outlineLevel="0" max="12" min="12" style="0" width="2.42"/>
    <col collapsed="false" customWidth="true" hidden="false" outlineLevel="0" max="13" min="13" style="0" width="2.57"/>
    <col collapsed="false" customWidth="true" hidden="false" outlineLevel="0" max="14" min="14" style="0" width="2.71"/>
    <col collapsed="false" customWidth="true" hidden="false" outlineLevel="0" max="15" min="15" style="0" width="8"/>
    <col collapsed="false" customWidth="true" hidden="false" outlineLevel="0" max="16" min="16" style="0" width="3.71"/>
    <col collapsed="false" customWidth="true" hidden="false" outlineLevel="0" max="17" min="17" style="0" width="12.15"/>
    <col collapsed="false" customWidth="true" hidden="false" outlineLevel="0" max="18" min="18" style="0" width="3.71"/>
    <col collapsed="false" customWidth="true" hidden="false" outlineLevel="0" max="19" min="19" style="0" width="6.43"/>
    <col collapsed="false" customWidth="true" hidden="false" outlineLevel="0" max="20" min="20" style="0" width="3.71"/>
    <col collapsed="false" customWidth="true" hidden="false" outlineLevel="0" max="21" min="21" style="0" width="12.86"/>
    <col collapsed="false" customWidth="true" hidden="false" outlineLevel="0" max="22" min="22" style="0" width="3.71"/>
    <col collapsed="false" customWidth="true" hidden="false" outlineLevel="0" max="23" min="23" style="0" width="9.57"/>
    <col collapsed="false" customWidth="true" hidden="false" outlineLevel="0" max="24" min="24" style="0" width="8.86"/>
    <col collapsed="false" customWidth="true" hidden="false" outlineLevel="0" max="25" min="25" style="0" width="26.71"/>
    <col collapsed="false" customWidth="true" hidden="false" outlineLevel="0" max="26" min="26" style="0" width="5.57"/>
    <col collapsed="false" customWidth="true" hidden="false" outlineLevel="0" max="27" min="27" style="0" width="10.29"/>
    <col collapsed="false" customWidth="true" hidden="false" outlineLevel="0" max="28" min="28" style="0" width="7.71"/>
    <col collapsed="false" customWidth="true" hidden="false" outlineLevel="0" max="29" min="29" style="0" width="2.71"/>
  </cols>
  <sheetData>
    <row r="2" customFormat="false" ht="28.5" hidden="false" customHeight="true" outlineLevel="0" collapsed="false">
      <c r="B2" s="1" t="s">
        <v>0</v>
      </c>
      <c r="C2" s="1"/>
      <c r="D2" s="2" t="s">
        <v>1</v>
      </c>
      <c r="E2" s="2"/>
      <c r="F2" s="2"/>
      <c r="G2" s="2"/>
      <c r="H2" s="2"/>
      <c r="I2" s="2"/>
      <c r="J2" s="2"/>
      <c r="K2" s="2"/>
      <c r="L2" s="3"/>
      <c r="M2" s="3"/>
      <c r="N2" s="3"/>
    </row>
    <row r="3" customFormat="false" ht="28.5" hidden="false" customHeight="true" outlineLevel="0" collapsed="false">
      <c r="B3" s="4" t="s">
        <v>2</v>
      </c>
      <c r="C3" s="4"/>
      <c r="D3" s="5" t="s">
        <v>3</v>
      </c>
      <c r="E3" s="5"/>
      <c r="F3" s="5"/>
      <c r="G3" s="5"/>
      <c r="H3" s="5"/>
      <c r="I3" s="5"/>
      <c r="J3" s="5"/>
      <c r="K3" s="5"/>
      <c r="L3" s="3"/>
      <c r="M3" s="3"/>
      <c r="N3" s="3"/>
    </row>
    <row r="4" customFormat="false" ht="28.5" hidden="false" customHeight="true" outlineLevel="0" collapsed="false">
      <c r="B4" s="6" t="s">
        <v>4</v>
      </c>
      <c r="C4" s="6"/>
      <c r="D4" s="7" t="n">
        <v>46120</v>
      </c>
      <c r="E4" s="7"/>
      <c r="F4" s="7"/>
      <c r="G4" s="7"/>
      <c r="H4" s="7"/>
      <c r="I4" s="8" t="s">
        <v>5</v>
      </c>
      <c r="J4" s="9" t="s">
        <v>6</v>
      </c>
      <c r="K4" s="9"/>
      <c r="L4" s="3"/>
      <c r="M4" s="3"/>
      <c r="N4" s="3"/>
    </row>
    <row r="5" customFormat="false" ht="13.5" hidden="false" customHeight="true" outlineLevel="0" collapsed="false"/>
    <row r="6" customFormat="false" ht="11.25" hidden="false" customHeight="true" outlineLevel="0" collapsed="false">
      <c r="B6" s="10"/>
      <c r="C6" s="11"/>
      <c r="D6" s="11"/>
      <c r="E6" s="11"/>
      <c r="F6" s="11"/>
      <c r="G6" s="11"/>
      <c r="H6" s="12"/>
    </row>
    <row r="7" customFormat="false" ht="21.75" hidden="false" customHeight="true" outlineLevel="0" collapsed="false">
      <c r="B7" s="13"/>
      <c r="C7" s="14" t="s">
        <v>7</v>
      </c>
      <c r="D7" s="14"/>
      <c r="E7" s="14"/>
      <c r="F7" s="14"/>
      <c r="G7" s="14"/>
      <c r="H7" s="15"/>
      <c r="S7" s="16"/>
      <c r="T7" s="16"/>
      <c r="U7" s="16"/>
      <c r="V7" s="16"/>
      <c r="W7" s="16"/>
      <c r="X7" s="16"/>
      <c r="Y7" s="16"/>
      <c r="Z7" s="16"/>
    </row>
    <row r="8" customFormat="false" ht="14.25" hidden="false" customHeight="true" outlineLevel="0" collapsed="false">
      <c r="B8" s="17"/>
      <c r="C8" s="18"/>
      <c r="D8" s="18"/>
      <c r="H8" s="15"/>
      <c r="M8" s="18"/>
      <c r="S8" s="16"/>
      <c r="T8" s="16"/>
      <c r="U8" s="16"/>
      <c r="V8" s="16"/>
      <c r="W8" s="16"/>
      <c r="X8" s="16"/>
      <c r="Y8" s="16"/>
      <c r="Z8" s="16"/>
    </row>
    <row r="9" customFormat="false" ht="18.75" hidden="false" customHeight="true" outlineLevel="0" collapsed="false">
      <c r="B9" s="19"/>
      <c r="C9" s="20" t="s">
        <v>8</v>
      </c>
      <c r="D9" s="20"/>
      <c r="E9" s="20"/>
      <c r="G9" s="21" t="s">
        <v>9</v>
      </c>
      <c r="H9" s="15"/>
      <c r="I9" s="3"/>
      <c r="J9" s="3"/>
      <c r="K9" s="3"/>
      <c r="L9" s="3"/>
      <c r="M9" s="3"/>
      <c r="S9" s="16"/>
      <c r="T9" s="16"/>
      <c r="U9" s="16"/>
      <c r="V9" s="16"/>
      <c r="W9" s="16"/>
      <c r="X9" s="16"/>
      <c r="Y9" s="16"/>
      <c r="Z9" s="16"/>
    </row>
    <row r="10" customFormat="false" ht="27.75" hidden="false" customHeight="true" outlineLevel="0" collapsed="false">
      <c r="B10" s="22"/>
      <c r="C10" s="23" t="s">
        <v>10</v>
      </c>
      <c r="D10" s="23"/>
      <c r="E10" s="23"/>
      <c r="F10" s="24"/>
      <c r="G10" s="25" t="n">
        <v>0.322</v>
      </c>
      <c r="H10" s="15"/>
      <c r="I10" s="25"/>
      <c r="S10" s="16"/>
      <c r="T10" s="16"/>
      <c r="U10" s="16"/>
      <c r="V10" s="16"/>
      <c r="W10" s="16"/>
      <c r="X10" s="16"/>
      <c r="Y10" s="16"/>
      <c r="Z10" s="16"/>
    </row>
    <row r="11" customFormat="false" ht="27.75" hidden="false" customHeight="true" outlineLevel="0" collapsed="false">
      <c r="B11" s="22"/>
      <c r="C11" s="23" t="s">
        <v>11</v>
      </c>
      <c r="D11" s="23"/>
      <c r="E11" s="23"/>
      <c r="F11" s="24"/>
      <c r="G11" s="25" t="n">
        <v>0.218</v>
      </c>
      <c r="H11" s="15"/>
      <c r="I11" s="26"/>
      <c r="S11" s="16"/>
      <c r="T11" s="16"/>
      <c r="U11" s="16"/>
      <c r="V11" s="16"/>
      <c r="W11" s="16"/>
      <c r="X11" s="16"/>
      <c r="Y11" s="16"/>
      <c r="Z11" s="16"/>
    </row>
    <row r="12" customFormat="false" ht="27.75" hidden="false" customHeight="true" outlineLevel="0" collapsed="false">
      <c r="B12" s="22"/>
      <c r="C12" s="23" t="s">
        <v>12</v>
      </c>
      <c r="D12" s="23"/>
      <c r="E12" s="23"/>
      <c r="F12" s="24"/>
      <c r="G12" s="25" t="n">
        <v>0.461</v>
      </c>
      <c r="H12" s="15"/>
      <c r="I12" s="26"/>
      <c r="S12" s="16"/>
      <c r="T12" s="16"/>
      <c r="U12" s="16"/>
      <c r="V12" s="16"/>
      <c r="W12" s="16"/>
      <c r="X12" s="16"/>
      <c r="Y12" s="16"/>
      <c r="Z12" s="16"/>
    </row>
    <row r="13" customFormat="false" ht="11.25" hidden="false" customHeight="true" outlineLevel="0" collapsed="false">
      <c r="B13" s="27"/>
      <c r="C13" s="28"/>
      <c r="D13" s="28"/>
      <c r="E13" s="28"/>
      <c r="F13" s="28"/>
      <c r="G13" s="28"/>
      <c r="H13" s="29"/>
      <c r="S13" s="16"/>
      <c r="T13" s="16"/>
      <c r="U13" s="16"/>
      <c r="V13" s="16"/>
      <c r="W13" s="16"/>
      <c r="X13" s="16"/>
      <c r="Y13" s="16"/>
      <c r="Z13" s="16"/>
    </row>
    <row r="14" customFormat="false" ht="21.75" hidden="false" customHeight="true" outlineLevel="0" collapsed="false"/>
    <row r="15" customFormat="false" ht="11.25" hidden="false" customHeight="true" outlineLevel="0" collapsed="false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customFormat="false" ht="21.75" hidden="false" customHeight="true" outlineLevel="0" collapsed="false">
      <c r="B16" s="13"/>
      <c r="E16" s="30" t="s">
        <v>40</v>
      </c>
      <c r="F16" s="30"/>
      <c r="G16" s="30"/>
      <c r="H16" s="30"/>
      <c r="I16" s="30"/>
      <c r="L16" s="15"/>
    </row>
    <row r="17" customFormat="false" ht="14.25" hidden="false" customHeight="true" outlineLevel="0" collapsed="false">
      <c r="B17" s="13"/>
      <c r="D17" s="18"/>
      <c r="E17" s="18"/>
      <c r="F17" s="18"/>
      <c r="L17" s="15"/>
      <c r="M17" s="18"/>
      <c r="N17" s="31" t="s">
        <v>14</v>
      </c>
      <c r="O17" s="31"/>
      <c r="P17" s="31"/>
      <c r="Q17" s="31"/>
      <c r="R17" s="31"/>
      <c r="S17" s="31"/>
    </row>
    <row r="18" customFormat="false" ht="18.75" hidden="false" customHeight="true" outlineLevel="0" collapsed="false">
      <c r="B18" s="13"/>
      <c r="C18" s="21" t="s">
        <v>15</v>
      </c>
      <c r="D18" s="3"/>
      <c r="E18" s="20" t="s">
        <v>8</v>
      </c>
      <c r="F18" s="20"/>
      <c r="G18" s="20"/>
      <c r="I18" s="21" t="s">
        <v>16</v>
      </c>
      <c r="K18" s="21" t="s">
        <v>17</v>
      </c>
      <c r="L18" s="32"/>
      <c r="M18" s="3"/>
      <c r="N18" s="31"/>
      <c r="O18" s="31"/>
      <c r="P18" s="31"/>
      <c r="Q18" s="31"/>
      <c r="R18" s="31"/>
      <c r="S18" s="31"/>
    </row>
    <row r="19" customFormat="false" ht="27.75" hidden="false" customHeight="true" outlineLevel="0" collapsed="false">
      <c r="B19" s="13"/>
      <c r="C19" s="33" t="s">
        <v>18</v>
      </c>
      <c r="D19" s="34"/>
      <c r="E19" s="35" t="s">
        <v>10</v>
      </c>
      <c r="F19" s="35"/>
      <c r="G19" s="35"/>
      <c r="I19" s="3" t="n">
        <f aca="false">G12</f>
        <v>0.461</v>
      </c>
      <c r="J19" s="3"/>
      <c r="K19" s="3" t="n">
        <f aca="false">I19</f>
        <v>0.461</v>
      </c>
      <c r="L19" s="15"/>
      <c r="N19" s="31"/>
      <c r="O19" s="31"/>
      <c r="P19" s="31"/>
      <c r="Q19" s="31"/>
      <c r="R19" s="31"/>
      <c r="S19" s="31"/>
      <c r="U19" s="3"/>
    </row>
    <row r="20" customFormat="false" ht="27.75" hidden="false" customHeight="true" outlineLevel="0" collapsed="false">
      <c r="B20" s="13"/>
      <c r="C20" s="33" t="s">
        <v>19</v>
      </c>
      <c r="D20" s="34"/>
      <c r="E20" s="36" t="s">
        <v>11</v>
      </c>
      <c r="F20" s="36"/>
      <c r="G20" s="36"/>
      <c r="I20" s="3" t="n">
        <f aca="false">G11</f>
        <v>0.218</v>
      </c>
      <c r="J20" s="3"/>
      <c r="K20" s="3" t="n">
        <f aca="false">I20</f>
        <v>0.218</v>
      </c>
      <c r="L20" s="15"/>
      <c r="N20" s="31"/>
      <c r="O20" s="31"/>
      <c r="P20" s="31"/>
      <c r="Q20" s="31"/>
      <c r="R20" s="31"/>
      <c r="S20" s="31"/>
      <c r="U20" s="3"/>
    </row>
    <row r="21" customFormat="false" ht="27.75" hidden="false" customHeight="true" outlineLevel="0" collapsed="false">
      <c r="B21" s="13"/>
      <c r="C21" s="33" t="s">
        <v>20</v>
      </c>
      <c r="D21" s="34"/>
      <c r="E21" s="36" t="s">
        <v>12</v>
      </c>
      <c r="F21" s="36"/>
      <c r="G21" s="36"/>
      <c r="I21" s="3" t="n">
        <f aca="false">G10</f>
        <v>0.322</v>
      </c>
      <c r="J21" s="3"/>
      <c r="K21" s="3" t="n">
        <f aca="false">I21+0.013</f>
        <v>0.335</v>
      </c>
      <c r="L21" s="15"/>
      <c r="N21" s="37" t="s">
        <v>21</v>
      </c>
      <c r="O21" s="37"/>
      <c r="P21" s="37"/>
      <c r="Q21" s="37"/>
      <c r="R21" s="37"/>
      <c r="S21" s="37"/>
      <c r="U21" s="3"/>
    </row>
    <row r="22" customFormat="false" ht="11.25" hidden="false" customHeight="true" outlineLevel="0" collapsed="false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customFormat="false" ht="12" hidden="false" customHeight="true" outlineLevel="0" collapsed="false">
      <c r="F23" s="3"/>
      <c r="G23" s="3"/>
      <c r="H23" s="3"/>
      <c r="I23" s="3"/>
      <c r="J23" s="3"/>
      <c r="K23" s="3"/>
      <c r="L23" s="3"/>
      <c r="M23" s="3"/>
    </row>
    <row r="24" customFormat="false" ht="24.75" hidden="false" customHeight="true" outlineLevel="0" collapsed="false">
      <c r="F24" s="3"/>
      <c r="G24" s="3"/>
      <c r="H24" s="3"/>
      <c r="I24" s="3"/>
      <c r="J24" s="3"/>
      <c r="K24" s="3"/>
      <c r="L24" s="3"/>
      <c r="M24" s="3"/>
      <c r="O24" s="38" t="s">
        <v>22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customFormat="false" ht="13.5" hidden="false" customHeight="true" outlineLevel="0" collapsed="false">
      <c r="H25" s="39"/>
      <c r="I25" s="40"/>
      <c r="J25" s="40"/>
      <c r="K25" s="40"/>
      <c r="L25" s="41"/>
      <c r="M25" s="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customFormat="false" ht="24.75" hidden="false" customHeight="true" outlineLevel="0" collapsed="false">
      <c r="H26" s="19"/>
      <c r="I26" s="42" t="s">
        <v>23</v>
      </c>
      <c r="J26" s="42"/>
      <c r="K26" s="42"/>
      <c r="L26" s="32"/>
      <c r="M26" s="3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customFormat="false" ht="13.5" hidden="false" customHeight="true" outlineLevel="0" collapsed="false">
      <c r="H27" s="19"/>
      <c r="I27" s="3"/>
      <c r="J27" s="3"/>
      <c r="K27" s="3"/>
      <c r="L27" s="32"/>
      <c r="M27" s="3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customFormat="false" ht="24.75" hidden="false" customHeight="true" outlineLevel="0" collapsed="false">
      <c r="H28" s="19"/>
      <c r="I28" s="43" t="s">
        <v>24</v>
      </c>
      <c r="J28" s="44"/>
      <c r="K28" s="43" t="s">
        <v>25</v>
      </c>
      <c r="L28" s="32"/>
      <c r="M28" s="3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customFormat="false" ht="24.75" hidden="false" customHeight="true" outlineLevel="0" collapsed="false">
      <c r="H29" s="19"/>
      <c r="I29" s="45" t="n">
        <v>0.6</v>
      </c>
      <c r="J29" s="3"/>
      <c r="K29" s="3" t="n">
        <v>7.6</v>
      </c>
      <c r="L29" s="32"/>
      <c r="M29" s="3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customFormat="false" ht="24.75" hidden="false" customHeight="true" outlineLevel="0" collapsed="false">
      <c r="H30" s="19"/>
      <c r="I30" s="45" t="n">
        <v>2</v>
      </c>
      <c r="J30" s="3"/>
      <c r="K30" s="3" t="n">
        <v>8.5</v>
      </c>
      <c r="L30" s="32"/>
      <c r="M30" s="3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customFormat="false" ht="24.75" hidden="false" customHeight="true" outlineLevel="0" collapsed="false">
      <c r="H31" s="19"/>
      <c r="I31" s="45" t="n">
        <v>3</v>
      </c>
      <c r="J31" s="3"/>
      <c r="K31" s="3" t="n">
        <v>9.1</v>
      </c>
      <c r="L31" s="32"/>
      <c r="M31" s="3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customFormat="false" ht="24.75" hidden="false" customHeight="true" outlineLevel="0" collapsed="false">
      <c r="H32" s="19"/>
      <c r="I32" s="45" t="n">
        <v>4</v>
      </c>
      <c r="J32" s="3"/>
      <c r="K32" s="3" t="n">
        <v>9.8</v>
      </c>
      <c r="L32" s="32"/>
      <c r="M32" s="3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customFormat="false" ht="24.75" hidden="false" customHeight="true" outlineLevel="0" collapsed="false">
      <c r="H33" s="19"/>
      <c r="I33" s="45" t="n">
        <v>5</v>
      </c>
      <c r="J33" s="3"/>
      <c r="K33" s="3" t="n">
        <v>10.5</v>
      </c>
      <c r="L33" s="32"/>
      <c r="M33" s="3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customFormat="false" ht="24.75" hidden="false" customHeight="true" outlineLevel="0" collapsed="false">
      <c r="F34" s="3"/>
      <c r="G34" s="3"/>
      <c r="H34" s="19"/>
      <c r="I34" s="45" t="n">
        <v>6</v>
      </c>
      <c r="J34" s="3"/>
      <c r="K34" s="3" t="n">
        <v>11.1</v>
      </c>
      <c r="L34" s="32"/>
      <c r="M34" s="3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customFormat="false" ht="24.75" hidden="false" customHeight="true" outlineLevel="0" collapsed="false">
      <c r="F35" s="3"/>
      <c r="G35" s="3"/>
      <c r="H35" s="19"/>
      <c r="I35" s="45" t="n">
        <v>7</v>
      </c>
      <c r="J35" s="3"/>
      <c r="K35" s="3" t="n">
        <v>11.7</v>
      </c>
      <c r="L35" s="32"/>
      <c r="M35" s="3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customFormat="false" ht="24.75" hidden="false" customHeight="true" outlineLevel="0" collapsed="false">
      <c r="F36" s="3"/>
      <c r="G36" s="3"/>
      <c r="H36" s="19"/>
      <c r="I36" s="45" t="n">
        <v>8</v>
      </c>
      <c r="J36" s="3"/>
      <c r="K36" s="3" t="n">
        <v>12.4</v>
      </c>
      <c r="L36" s="32"/>
      <c r="M36" s="3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customFormat="false" ht="24.75" hidden="false" customHeight="true" outlineLevel="0" collapsed="false">
      <c r="F37" s="3"/>
      <c r="G37" s="3"/>
      <c r="H37" s="19"/>
      <c r="I37" s="45" t="n">
        <v>9</v>
      </c>
      <c r="J37" s="3"/>
      <c r="K37" s="3" t="n">
        <v>13</v>
      </c>
      <c r="L37" s="32"/>
      <c r="M37" s="3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customFormat="false" ht="24.75" hidden="false" customHeight="true" outlineLevel="0" collapsed="false">
      <c r="F38" s="3"/>
      <c r="G38" s="3"/>
      <c r="H38" s="19"/>
      <c r="I38" s="45" t="n">
        <v>10</v>
      </c>
      <c r="J38" s="3"/>
      <c r="K38" s="3" t="n">
        <v>13.7</v>
      </c>
      <c r="L38" s="32"/>
      <c r="M38" s="3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customFormat="false" ht="13.8" hidden="false" customHeight="false" outlineLevel="0" collapsed="false">
      <c r="H39" s="46"/>
      <c r="I39" s="21"/>
      <c r="J39" s="21"/>
      <c r="K39" s="21"/>
      <c r="L39" s="47"/>
    </row>
    <row r="40" customFormat="false" ht="13.5" hidden="false" customHeight="true" outlineLevel="0" collapsed="false">
      <c r="F40" s="3"/>
      <c r="G40" s="3"/>
      <c r="H40" s="3"/>
      <c r="I40" s="3"/>
      <c r="J40" s="3"/>
      <c r="K40" s="3"/>
      <c r="L40" s="3"/>
      <c r="M40" s="3"/>
      <c r="N40" s="39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1"/>
    </row>
    <row r="41" customFormat="false" ht="15" hidden="false" customHeight="false" outlineLevel="0" collapsed="false">
      <c r="F41" s="3"/>
      <c r="G41" s="3"/>
      <c r="H41" s="3"/>
      <c r="I41" s="3"/>
      <c r="J41" s="3"/>
      <c r="K41" s="3"/>
      <c r="L41" s="3"/>
      <c r="M41" s="3"/>
      <c r="N41" s="19"/>
      <c r="O41" s="48" t="s">
        <v>26</v>
      </c>
      <c r="P41" s="48"/>
      <c r="Q41" s="48"/>
      <c r="R41" s="48"/>
      <c r="S41" s="48"/>
      <c r="T41" s="48"/>
      <c r="U41" s="48"/>
      <c r="V41" s="49"/>
      <c r="W41" s="3"/>
      <c r="X41" s="3"/>
      <c r="Y41" s="3"/>
      <c r="Z41" s="3"/>
      <c r="AA41" s="3"/>
      <c r="AB41" s="3"/>
      <c r="AC41" s="32"/>
    </row>
    <row r="42" customFormat="false" ht="9.75" hidden="false" customHeight="true" outlineLevel="0" collapsed="false">
      <c r="F42" s="3"/>
      <c r="G42" s="3"/>
      <c r="H42" s="3"/>
      <c r="I42" s="3"/>
      <c r="J42" s="3"/>
      <c r="K42" s="3"/>
      <c r="L42" s="3"/>
      <c r="M42" s="3"/>
      <c r="N42" s="19"/>
      <c r="O42" s="49"/>
      <c r="P42" s="49"/>
      <c r="Q42" s="49"/>
      <c r="R42" s="49"/>
      <c r="S42" s="49"/>
      <c r="T42" s="49"/>
      <c r="U42" s="49"/>
      <c r="V42" s="49"/>
      <c r="W42" s="3"/>
      <c r="X42" s="3"/>
      <c r="Y42" s="3"/>
      <c r="Z42" s="3"/>
      <c r="AA42" s="3"/>
      <c r="AB42" s="3"/>
      <c r="AC42" s="32"/>
    </row>
    <row r="43" customFormat="false" ht="13.8" hidden="false" customHeight="false" outlineLevel="0" collapsed="false">
      <c r="F43" s="3"/>
      <c r="G43" s="3"/>
      <c r="H43" s="3"/>
      <c r="I43" s="3"/>
      <c r="J43" s="3"/>
      <c r="K43" s="69" t="n">
        <f aca="false">INTERCEPT(K29:K38,I29:I38)</f>
        <v>7.20382635313761</v>
      </c>
      <c r="L43" s="3"/>
      <c r="M43" s="3"/>
      <c r="N43" s="19"/>
      <c r="O43" s="51" t="s">
        <v>27</v>
      </c>
      <c r="P43" s="51"/>
      <c r="Q43" s="51"/>
      <c r="R43" s="51"/>
      <c r="S43" s="51"/>
      <c r="T43" s="51"/>
      <c r="U43" s="51"/>
      <c r="V43" s="49"/>
      <c r="W43" s="3"/>
      <c r="X43" s="3"/>
      <c r="Y43" s="3"/>
      <c r="Z43" s="3"/>
      <c r="AA43" s="3"/>
      <c r="AB43" s="3"/>
      <c r="AC43" s="32"/>
    </row>
    <row r="44" customFormat="false" ht="9.75" hidden="false" customHeight="true" outlineLevel="0" collapsed="false">
      <c r="F44" s="3"/>
      <c r="G44" s="3"/>
      <c r="H44" s="3"/>
      <c r="I44" s="3"/>
      <c r="J44" s="3"/>
      <c r="K44" s="69"/>
      <c r="L44" s="3"/>
      <c r="M44" s="3"/>
      <c r="N44" s="19"/>
      <c r="O44" s="49"/>
      <c r="P44" s="49"/>
      <c r="Q44" s="49"/>
      <c r="R44" s="49"/>
      <c r="S44" s="49"/>
      <c r="T44" s="49"/>
      <c r="U44" s="49"/>
      <c r="V44" s="49"/>
      <c r="W44" s="3"/>
      <c r="X44" s="3"/>
      <c r="Y44" s="3"/>
      <c r="Z44" s="3"/>
      <c r="AA44" s="3"/>
      <c r="AB44" s="3"/>
      <c r="AC44" s="32"/>
    </row>
    <row r="45" customFormat="false" ht="21.75" hidden="false" customHeight="true" outlineLevel="0" collapsed="false">
      <c r="F45" s="3"/>
      <c r="G45" s="3"/>
      <c r="H45" s="3"/>
      <c r="I45" s="3"/>
      <c r="J45" s="3"/>
      <c r="K45" s="70" t="n">
        <f aca="false">SLOPE(K29:K38,I29:I38)</f>
        <v>0.647650851073698</v>
      </c>
      <c r="L45" s="3"/>
      <c r="M45" s="3"/>
      <c r="N45" s="19"/>
      <c r="O45" s="53" t="s">
        <v>28</v>
      </c>
      <c r="P45" s="3" t="s">
        <v>29</v>
      </c>
      <c r="Q45" s="54" t="s">
        <v>30</v>
      </c>
      <c r="R45" s="54"/>
      <c r="S45" s="54"/>
      <c r="T45" s="3" t="s">
        <v>29</v>
      </c>
      <c r="U45" s="55" t="str">
        <f aca="false">"(" &amp;K19 &amp; X49 &amp; ")(" &amp; K20 &amp; X49 &amp; ") + (" &amp; K19 &amp; X49 &amp; ")(" &amp; K21 &amp; X49 &amp; ") + (" &amp; K20 &amp; X49 &amp; ")(" &amp; K21 &amp; X49 &amp; ")"</f>
        <v>(0.461 kΩ)(0.218 kΩ) + (0.461 kΩ)(0.335 kΩ) + (0.218 kΩ)(0.335 kΩ)</v>
      </c>
      <c r="V45" s="55"/>
      <c r="W45" s="55"/>
      <c r="X45" s="55"/>
      <c r="Y45" s="55"/>
      <c r="Z45" s="3" t="s">
        <v>29</v>
      </c>
      <c r="AA45" s="56" t="n">
        <f aca="false">K19*K21 + K19*K20+ K20*K21</f>
        <v>0.327963</v>
      </c>
      <c r="AB45" s="44" t="s">
        <v>31</v>
      </c>
      <c r="AC45" s="32"/>
    </row>
    <row r="46" customFormat="false" ht="21.75" hidden="false" customHeight="true" outlineLevel="0" collapsed="false">
      <c r="F46" s="3"/>
      <c r="G46" s="3"/>
      <c r="H46" s="3"/>
      <c r="I46" s="3"/>
      <c r="J46" s="3"/>
      <c r="K46" s="69" t="str">
        <f aca="false">"0.0000"</f>
        <v>0.0000</v>
      </c>
      <c r="L46" s="3"/>
      <c r="M46" s="3"/>
      <c r="N46" s="19"/>
      <c r="O46" s="5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2"/>
    </row>
    <row r="47" customFormat="false" ht="21.75" hidden="false" customHeight="true" outlineLevel="0" collapsed="false">
      <c r="F47" s="3"/>
      <c r="G47" s="3"/>
      <c r="H47" s="3"/>
      <c r="I47" s="3"/>
      <c r="J47" s="3"/>
      <c r="K47" s="3"/>
      <c r="L47" s="3"/>
      <c r="M47" s="3"/>
      <c r="N47" s="19"/>
      <c r="O47" s="51" t="s">
        <v>32</v>
      </c>
      <c r="P47" s="51"/>
      <c r="Q47" s="51"/>
      <c r="R47" s="51"/>
      <c r="S47" s="51"/>
      <c r="T47" s="51"/>
      <c r="U47" s="51"/>
      <c r="V47" s="3"/>
      <c r="W47" s="3"/>
      <c r="X47" s="3"/>
      <c r="Y47" s="3"/>
      <c r="Z47" s="3"/>
      <c r="AA47" s="3"/>
      <c r="AB47" s="3"/>
      <c r="AC47" s="32"/>
    </row>
    <row r="48" customFormat="false" ht="9.75" hidden="false" customHeight="true" outlineLevel="0" collapsed="false">
      <c r="F48" s="3"/>
      <c r="G48" s="3"/>
      <c r="H48" s="3"/>
      <c r="I48" s="3"/>
      <c r="J48" s="3"/>
      <c r="K48" s="3"/>
      <c r="L48" s="3"/>
      <c r="M48" s="3"/>
      <c r="N48" s="1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2"/>
    </row>
    <row r="49" customFormat="false" ht="22.5" hidden="false" customHeight="true" outlineLevel="0" collapsed="false">
      <c r="F49" s="3"/>
      <c r="G49" s="3"/>
      <c r="H49" s="3"/>
      <c r="I49" s="3"/>
      <c r="J49" s="3"/>
      <c r="K49" s="3"/>
      <c r="L49" s="3"/>
      <c r="M49" s="3"/>
      <c r="N49" s="19"/>
      <c r="O49" s="58" t="s">
        <v>33</v>
      </c>
      <c r="P49" s="42" t="s">
        <v>29</v>
      </c>
      <c r="Q49" s="59" t="s">
        <v>19</v>
      </c>
      <c r="R49" s="42" t="s">
        <v>29</v>
      </c>
      <c r="S49" s="60" t="str">
        <f aca="false">"(" &amp; K20 &amp; X49 &amp; ")"</f>
        <v>(0.218 kΩ)</v>
      </c>
      <c r="T49" s="60"/>
      <c r="U49" s="60"/>
      <c r="V49" s="42" t="s">
        <v>29</v>
      </c>
      <c r="W49" s="61" t="n">
        <f aca="false">K20/AA45</f>
        <v>0.664709128773673</v>
      </c>
      <c r="X49" s="42" t="str">
        <f aca="false">" kΩ"</f>
        <v> kΩ</v>
      </c>
      <c r="Y49" s="3"/>
      <c r="Z49" s="3"/>
      <c r="AA49" s="3"/>
      <c r="AB49" s="62"/>
      <c r="AC49" s="32"/>
    </row>
    <row r="50" customFormat="false" ht="22.5" hidden="false" customHeight="true" outlineLevel="0" collapsed="false">
      <c r="F50" s="3"/>
      <c r="G50" s="3"/>
      <c r="H50" s="3"/>
      <c r="I50" s="3"/>
      <c r="J50" s="3"/>
      <c r="K50" s="3"/>
      <c r="L50" s="3"/>
      <c r="M50" s="3"/>
      <c r="N50" s="19"/>
      <c r="O50" s="58"/>
      <c r="P50" s="42"/>
      <c r="Q50" s="53" t="s">
        <v>28</v>
      </c>
      <c r="R50" s="42"/>
      <c r="S50" s="42" t="str">
        <f aca="false">TEXT(AA45, K46) &amp; AB45</f>
        <v>0.3280 (kΩ)2</v>
      </c>
      <c r="T50" s="42"/>
      <c r="U50" s="42"/>
      <c r="V50" s="42"/>
      <c r="W50" s="61"/>
      <c r="X50" s="42"/>
      <c r="Y50" s="3"/>
      <c r="Z50" s="3"/>
      <c r="AA50" s="3"/>
      <c r="AB50" s="62"/>
      <c r="AC50" s="32"/>
    </row>
    <row r="51" customFormat="false" ht="9.75" hidden="false" customHeight="true" outlineLevel="0" collapsed="false">
      <c r="F51" s="3"/>
      <c r="G51" s="3"/>
      <c r="H51" s="3"/>
      <c r="I51" s="3"/>
      <c r="J51" s="3"/>
      <c r="K51" s="3"/>
      <c r="L51" s="3"/>
      <c r="M51" s="3"/>
      <c r="N51" s="19"/>
      <c r="O51" s="63"/>
      <c r="P51" s="3"/>
      <c r="Q51" s="53"/>
      <c r="R51" s="3"/>
      <c r="S51" s="3"/>
      <c r="T51" s="3"/>
      <c r="U51" s="3"/>
      <c r="V51" s="3"/>
      <c r="W51" s="64"/>
      <c r="X51" s="3"/>
      <c r="Y51" s="3"/>
      <c r="Z51" s="3"/>
      <c r="AA51" s="3"/>
      <c r="AB51" s="62"/>
      <c r="AC51" s="32"/>
    </row>
    <row r="52" customFormat="false" ht="22.5" hidden="false" customHeight="true" outlineLevel="0" collapsed="false">
      <c r="F52" s="3"/>
      <c r="G52" s="3"/>
      <c r="H52" s="3"/>
      <c r="I52" s="3"/>
      <c r="J52" s="3"/>
      <c r="K52" s="3"/>
      <c r="L52" s="3"/>
      <c r="M52" s="3"/>
      <c r="N52" s="19"/>
      <c r="O52" s="58" t="s">
        <v>34</v>
      </c>
      <c r="P52" s="42" t="s">
        <v>29</v>
      </c>
      <c r="Q52" s="65" t="s">
        <v>35</v>
      </c>
      <c r="R52" s="42" t="s">
        <v>29</v>
      </c>
      <c r="S52" s="60" t="str">
        <f aca="false">"(" &amp; TEXT(K45, K46) &amp; X49 &amp; ") - (" &amp; TEXT(W49,K46) &amp; X49 &amp; ")"</f>
        <v>(0.6477 kΩ) - (0.6647 kΩ)</v>
      </c>
      <c r="T52" s="60"/>
      <c r="U52" s="60"/>
      <c r="V52" s="42" t="s">
        <v>29</v>
      </c>
      <c r="W52" s="66" t="n">
        <f aca="false">(K45-W49)/(W49)</f>
        <v>-0.025662770317967</v>
      </c>
      <c r="X52" s="3"/>
      <c r="Y52" s="3"/>
      <c r="Z52" s="3"/>
      <c r="AA52" s="3"/>
      <c r="AB52" s="62"/>
      <c r="AC52" s="32"/>
    </row>
    <row r="53" customFormat="false" ht="22.5" hidden="false" customHeight="true" outlineLevel="0" collapsed="false">
      <c r="F53" s="3"/>
      <c r="G53" s="3"/>
      <c r="H53" s="3"/>
      <c r="I53" s="3"/>
      <c r="J53" s="3"/>
      <c r="K53" s="3"/>
      <c r="L53" s="3"/>
      <c r="M53" s="3"/>
      <c r="N53" s="19"/>
      <c r="O53" s="58"/>
      <c r="P53" s="42"/>
      <c r="Q53" s="67" t="s">
        <v>36</v>
      </c>
      <c r="R53" s="42"/>
      <c r="S53" s="42" t="str">
        <f aca="false">"(" &amp; TEXT(W49,K46) &amp; X49 &amp; ")"</f>
        <v>(0.6647 kΩ)</v>
      </c>
      <c r="T53" s="42"/>
      <c r="U53" s="42"/>
      <c r="V53" s="42"/>
      <c r="W53" s="66"/>
      <c r="X53" s="3"/>
      <c r="Y53" s="3"/>
      <c r="Z53" s="3"/>
      <c r="AA53" s="3"/>
      <c r="AB53" s="62"/>
      <c r="AC53" s="32"/>
    </row>
    <row r="54" customFormat="false" ht="22.5" hidden="false" customHeight="true" outlineLevel="0" collapsed="false">
      <c r="F54" s="3"/>
      <c r="G54" s="3"/>
      <c r="H54" s="3"/>
      <c r="I54" s="3"/>
      <c r="J54" s="3"/>
      <c r="K54" s="3"/>
      <c r="L54" s="3"/>
      <c r="M54" s="3"/>
      <c r="N54" s="19"/>
      <c r="O54" s="3"/>
      <c r="P54" s="3"/>
      <c r="Q54" s="3"/>
      <c r="R54" s="3"/>
      <c r="S54" s="3"/>
      <c r="T54" s="3"/>
      <c r="U54" s="3"/>
      <c r="V54" s="3"/>
      <c r="W54" s="64"/>
      <c r="X54" s="3"/>
      <c r="Y54" s="3"/>
      <c r="Z54" s="3"/>
      <c r="AA54" s="62"/>
      <c r="AB54" s="62"/>
      <c r="AC54" s="32"/>
    </row>
    <row r="55" customFormat="false" ht="21.75" hidden="false" customHeight="true" outlineLevel="0" collapsed="false">
      <c r="F55" s="3"/>
      <c r="G55" s="3"/>
      <c r="H55" s="3"/>
      <c r="I55" s="3"/>
      <c r="J55" s="3"/>
      <c r="K55" s="3"/>
      <c r="L55" s="3"/>
      <c r="M55" s="3"/>
      <c r="N55" s="19"/>
      <c r="O55" s="51" t="s">
        <v>37</v>
      </c>
      <c r="P55" s="51"/>
      <c r="Q55" s="51"/>
      <c r="R55" s="51"/>
      <c r="S55" s="51"/>
      <c r="T55" s="51"/>
      <c r="U55" s="51"/>
      <c r="V55" s="3"/>
      <c r="W55" s="64"/>
      <c r="X55" s="3"/>
      <c r="Y55" s="3"/>
      <c r="Z55" s="3"/>
      <c r="AA55" s="3"/>
      <c r="AB55" s="3"/>
      <c r="AC55" s="32"/>
    </row>
    <row r="56" customFormat="false" ht="9.75" hidden="false" customHeight="true" outlineLevel="0" collapsed="false">
      <c r="F56" s="3"/>
      <c r="G56" s="3"/>
      <c r="H56" s="3"/>
      <c r="I56" s="3"/>
      <c r="J56" s="3"/>
      <c r="K56" s="3"/>
      <c r="L56" s="3"/>
      <c r="M56" s="3"/>
      <c r="N56" s="19"/>
      <c r="O56" s="3"/>
      <c r="P56" s="3"/>
      <c r="Q56" s="3"/>
      <c r="R56" s="3"/>
      <c r="S56" s="3"/>
      <c r="T56" s="3"/>
      <c r="U56" s="3"/>
      <c r="V56" s="3"/>
      <c r="W56" s="64"/>
      <c r="X56" s="3"/>
      <c r="Y56" s="3"/>
      <c r="Z56" s="3"/>
      <c r="AA56" s="3"/>
      <c r="AB56" s="3"/>
      <c r="AC56" s="32"/>
    </row>
    <row r="57" customFormat="false" ht="22.5" hidden="false" customHeight="true" outlineLevel="0" collapsed="false">
      <c r="F57" s="3"/>
      <c r="G57" s="3"/>
      <c r="H57" s="3"/>
      <c r="I57" s="3"/>
      <c r="J57" s="3"/>
      <c r="K57" s="3"/>
      <c r="L57" s="3"/>
      <c r="M57" s="3"/>
      <c r="N57" s="19"/>
      <c r="O57" s="58" t="s">
        <v>38</v>
      </c>
      <c r="P57" s="42" t="s">
        <v>29</v>
      </c>
      <c r="Q57" s="59" t="s">
        <v>39</v>
      </c>
      <c r="R57" s="42" t="s">
        <v>29</v>
      </c>
      <c r="S57" s="60" t="str">
        <f aca="false">"(" &amp; K19 &amp; X49 &amp; ")( 5.00" &amp; X57 &amp;")"</f>
        <v>(0.461 kΩ)( 5.00 V)</v>
      </c>
      <c r="T57" s="60"/>
      <c r="U57" s="60"/>
      <c r="V57" s="42" t="s">
        <v>29</v>
      </c>
      <c r="W57" s="61" t="n">
        <f aca="false">K19 * 5 / AA45</f>
        <v>7.02823184322622</v>
      </c>
      <c r="X57" s="42" t="str">
        <f aca="false">" V"</f>
        <v> V</v>
      </c>
      <c r="Y57" s="3"/>
      <c r="Z57" s="3"/>
      <c r="AA57" s="3"/>
      <c r="AB57" s="62"/>
      <c r="AC57" s="32"/>
    </row>
    <row r="58" customFormat="false" ht="22.5" hidden="false" customHeight="true" outlineLevel="0" collapsed="false">
      <c r="F58" s="3"/>
      <c r="G58" s="3"/>
      <c r="H58" s="3"/>
      <c r="I58" s="3"/>
      <c r="J58" s="3"/>
      <c r="K58" s="3"/>
      <c r="L58" s="3"/>
      <c r="M58" s="3"/>
      <c r="N58" s="19"/>
      <c r="O58" s="58"/>
      <c r="P58" s="42"/>
      <c r="Q58" s="53" t="s">
        <v>28</v>
      </c>
      <c r="R58" s="42"/>
      <c r="S58" s="42" t="str">
        <f aca="false">S50</f>
        <v>0.3280 (kΩ)2</v>
      </c>
      <c r="T58" s="42"/>
      <c r="U58" s="42"/>
      <c r="V58" s="42"/>
      <c r="W58" s="61"/>
      <c r="X58" s="42"/>
      <c r="Y58" s="3"/>
      <c r="Z58" s="3"/>
      <c r="AA58" s="3"/>
      <c r="AB58" s="62"/>
      <c r="AC58" s="32"/>
    </row>
    <row r="59" customFormat="false" ht="9.75" hidden="false" customHeight="true" outlineLevel="0" collapsed="false">
      <c r="F59" s="3"/>
      <c r="G59" s="3"/>
      <c r="H59" s="3"/>
      <c r="I59" s="3"/>
      <c r="J59" s="3"/>
      <c r="K59" s="3"/>
      <c r="L59" s="3"/>
      <c r="M59" s="3"/>
      <c r="N59" s="19"/>
      <c r="O59" s="63"/>
      <c r="P59" s="3"/>
      <c r="Q59" s="53"/>
      <c r="R59" s="3"/>
      <c r="S59" s="3"/>
      <c r="T59" s="3"/>
      <c r="U59" s="3"/>
      <c r="V59" s="3"/>
      <c r="W59" s="64"/>
      <c r="X59" s="3"/>
      <c r="Y59" s="3"/>
      <c r="Z59" s="3"/>
      <c r="AA59" s="3"/>
      <c r="AB59" s="62"/>
      <c r="AC59" s="32"/>
    </row>
    <row r="60" customFormat="false" ht="22.5" hidden="false" customHeight="true" outlineLevel="0" collapsed="false">
      <c r="F60" s="3"/>
      <c r="G60" s="3"/>
      <c r="H60" s="3"/>
      <c r="I60" s="3"/>
      <c r="J60" s="3"/>
      <c r="K60" s="3"/>
      <c r="L60" s="3"/>
      <c r="M60" s="3"/>
      <c r="N60" s="19"/>
      <c r="O60" s="58" t="s">
        <v>34</v>
      </c>
      <c r="P60" s="42" t="s">
        <v>29</v>
      </c>
      <c r="Q60" s="65" t="s">
        <v>35</v>
      </c>
      <c r="R60" s="42" t="s">
        <v>29</v>
      </c>
      <c r="S60" s="60" t="str">
        <f aca="false">"("&amp;TEXT(K43,K46)&amp;X57&amp;") - (" &amp; TEXT(W57,K46) &amp; X57 &amp;")"</f>
        <v>(7.2038 V) - (7.0282 V)</v>
      </c>
      <c r="T60" s="60"/>
      <c r="U60" s="60"/>
      <c r="V60" s="42" t="s">
        <v>29</v>
      </c>
      <c r="W60" s="66" t="n">
        <f aca="false">(K43-W57)/(W57)</f>
        <v>0.0249841658369066</v>
      </c>
      <c r="X60" s="3"/>
      <c r="Y60" s="3"/>
      <c r="Z60" s="3"/>
      <c r="AA60" s="3"/>
      <c r="AB60" s="62"/>
      <c r="AC60" s="32"/>
    </row>
    <row r="61" customFormat="false" ht="22.5" hidden="false" customHeight="true" outlineLevel="0" collapsed="false">
      <c r="F61" s="3"/>
      <c r="G61" s="3"/>
      <c r="H61" s="3"/>
      <c r="I61" s="3"/>
      <c r="J61" s="3"/>
      <c r="K61" s="3"/>
      <c r="L61" s="3"/>
      <c r="M61" s="3"/>
      <c r="N61" s="19"/>
      <c r="O61" s="58"/>
      <c r="P61" s="42"/>
      <c r="Q61" s="67" t="s">
        <v>36</v>
      </c>
      <c r="R61" s="42"/>
      <c r="S61" s="68" t="str">
        <f aca="false">"(" &amp; TEXT(W57,K46) &amp; X57 &amp;")"</f>
        <v>(7.0282 V)</v>
      </c>
      <c r="T61" s="68"/>
      <c r="U61" s="68"/>
      <c r="V61" s="42"/>
      <c r="W61" s="66"/>
      <c r="X61" s="3"/>
      <c r="Y61" s="3"/>
      <c r="Z61" s="3"/>
      <c r="AA61" s="3"/>
      <c r="AB61" s="62"/>
      <c r="AC61" s="32"/>
    </row>
    <row r="62" customFormat="false" ht="9.75" hidden="false" customHeight="true" outlineLevel="0" collapsed="false">
      <c r="F62" s="3"/>
      <c r="G62" s="3"/>
      <c r="H62" s="3"/>
      <c r="I62" s="3"/>
      <c r="J62" s="3"/>
      <c r="K62" s="3"/>
      <c r="L62" s="3"/>
      <c r="M62" s="3"/>
      <c r="N62" s="4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47"/>
    </row>
    <row r="63" customFormat="false" ht="13.8" hidden="false" customHeight="false" outlineLevel="0" collapsed="false">
      <c r="F63" s="3"/>
      <c r="G63" s="3"/>
      <c r="H63" s="3"/>
      <c r="I63" s="3"/>
      <c r="J63" s="3"/>
      <c r="K63" s="3"/>
      <c r="L63" s="3"/>
      <c r="M63" s="3"/>
    </row>
  </sheetData>
  <mergeCells count="57">
    <mergeCell ref="B2:C2"/>
    <mergeCell ref="D2:K2"/>
    <mergeCell ref="B3:C3"/>
    <mergeCell ref="D3:K3"/>
    <mergeCell ref="B4:C4"/>
    <mergeCell ref="D4:H4"/>
    <mergeCell ref="J4:K4"/>
    <mergeCell ref="C7:G7"/>
    <mergeCell ref="C9:E9"/>
    <mergeCell ref="C10:E10"/>
    <mergeCell ref="C11:E11"/>
    <mergeCell ref="C12:E12"/>
    <mergeCell ref="E16:I16"/>
    <mergeCell ref="N17:S20"/>
    <mergeCell ref="E18:G18"/>
    <mergeCell ref="E19:G19"/>
    <mergeCell ref="E20:G20"/>
    <mergeCell ref="E21:G21"/>
    <mergeCell ref="N21:S21"/>
    <mergeCell ref="O24:AB38"/>
    <mergeCell ref="I26:K26"/>
    <mergeCell ref="O41:U41"/>
    <mergeCell ref="O43:U43"/>
    <mergeCell ref="Q45:S45"/>
    <mergeCell ref="U45:Y45"/>
    <mergeCell ref="O47:U47"/>
    <mergeCell ref="O49:O50"/>
    <mergeCell ref="P49:P50"/>
    <mergeCell ref="R49:R50"/>
    <mergeCell ref="S49:U49"/>
    <mergeCell ref="V49:V50"/>
    <mergeCell ref="W49:W50"/>
    <mergeCell ref="X49:X50"/>
    <mergeCell ref="S50:U50"/>
    <mergeCell ref="O52:O53"/>
    <mergeCell ref="P52:P53"/>
    <mergeCell ref="R52:R53"/>
    <mergeCell ref="S52:U52"/>
    <mergeCell ref="V52:V53"/>
    <mergeCell ref="W52:W53"/>
    <mergeCell ref="S53:U53"/>
    <mergeCell ref="O55:U55"/>
    <mergeCell ref="O57:O58"/>
    <mergeCell ref="P57:P58"/>
    <mergeCell ref="R57:R58"/>
    <mergeCell ref="S57:U57"/>
    <mergeCell ref="V57:V58"/>
    <mergeCell ref="W57:W58"/>
    <mergeCell ref="X57:X58"/>
    <mergeCell ref="S58:U58"/>
    <mergeCell ref="O60:O61"/>
    <mergeCell ref="P60:P61"/>
    <mergeCell ref="R60:R61"/>
    <mergeCell ref="S60:U60"/>
    <mergeCell ref="V60:V61"/>
    <mergeCell ref="W60:W61"/>
    <mergeCell ref="S61:U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2026-04-08T15:59:03Z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