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Resistors in Series" sheetId="1" state="visible" r:id="rId3"/>
    <sheet name="Resistors in Parallel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<sst xmlns="http://schemas.openxmlformats.org/spreadsheetml/2006/main" count="158" uniqueCount="44">
  <si>
    <t xml:space="preserve">Name:</t>
  </si>
  <si>
    <t xml:space="preserve">Delano Leslie</t>
  </si>
  <si>
    <t xml:space="preserve">Partner(s):</t>
  </si>
  <si>
    <t xml:space="preserve">Sean Robertson, William Rodas, Kyrillos Iskandar, Miguel Torres</t>
  </si>
  <si>
    <t xml:space="preserve">Date:</t>
  </si>
  <si>
    <t xml:space="preserve">03/25/26</t>
  </si>
  <si>
    <t xml:space="preserve">Table #:  </t>
  </si>
  <si>
    <t xml:space="preserve">3</t>
  </si>
  <si>
    <t xml:space="preserve">Resistors</t>
  </si>
  <si>
    <t xml:space="preserve">Resistor</t>
  </si>
  <si>
    <t xml:space="preserve">Colors</t>
  </si>
  <si>
    <r>
      <rPr>
        <sz val="11"/>
        <color theme="1"/>
        <rFont val="Calibri"/>
        <family val="2"/>
        <charset val="1"/>
      </rPr>
      <t xml:space="preserve">R  (</t>
    </r>
    <r>
      <rPr>
        <sz val="11"/>
        <color rgb="FF000000"/>
        <rFont val="Symbol"/>
        <family val="1"/>
        <charset val="2"/>
      </rPr>
      <t xml:space="preserve">W</t>
    </r>
    <r>
      <rPr>
        <sz val="11"/>
        <color theme="1"/>
        <rFont val="Calibri"/>
        <family val="2"/>
        <charset val="1"/>
      </rPr>
      <t xml:space="preserve">)</t>
    </r>
  </si>
  <si>
    <t xml:space="preserve">#1</t>
  </si>
  <si>
    <t xml:space="preserve">OOBG</t>
  </si>
  <si>
    <r>
      <rPr>
        <sz val="11"/>
        <color theme="1"/>
        <rFont val="Calibri"/>
        <family val="2"/>
        <charset val="1"/>
      </rPr>
      <t xml:space="preserve">322 </t>
    </r>
    <r>
      <rPr>
        <sz val="11"/>
        <color theme="1"/>
        <rFont val="Times New Roman"/>
        <family val="1"/>
        <charset val="1"/>
      </rPr>
      <t xml:space="preserve">Ω</t>
    </r>
  </si>
  <si>
    <t xml:space="preserve">#2</t>
  </si>
  <si>
    <t xml:space="preserve">RRBG</t>
  </si>
  <si>
    <r>
      <rPr>
        <sz val="11"/>
        <color theme="1"/>
        <rFont val="Calibri"/>
        <family val="2"/>
        <charset val="1"/>
      </rPr>
      <t xml:space="preserve">218 </t>
    </r>
    <r>
      <rPr>
        <sz val="11"/>
        <color theme="1"/>
        <rFont val="Times New Roman"/>
        <family val="1"/>
        <charset val="1"/>
      </rPr>
      <t xml:space="preserve">Ω</t>
    </r>
  </si>
  <si>
    <t xml:space="preserve">#3</t>
  </si>
  <si>
    <t xml:space="preserve">YPBG</t>
  </si>
  <si>
    <r>
      <rPr>
        <sz val="11"/>
        <color theme="1"/>
        <rFont val="Calibri"/>
        <family val="2"/>
        <charset val="1"/>
      </rPr>
      <t xml:space="preserve">461 </t>
    </r>
    <r>
      <rPr>
        <sz val="11"/>
        <color theme="1"/>
        <rFont val="Times New Roman"/>
        <family val="1"/>
        <charset val="1"/>
      </rPr>
      <t xml:space="preserve">Ω</t>
    </r>
  </si>
  <si>
    <t xml:space="preserve">Ohm's Law  - Individual Resistors</t>
  </si>
  <si>
    <t xml:space="preserve">Resistor #2 &amp; #3</t>
  </si>
  <si>
    <t xml:space="preserve">Resistor #1 &amp; #3</t>
  </si>
  <si>
    <t xml:space="preserve">Resistor #1 &amp; #2</t>
  </si>
  <si>
    <t xml:space="preserve">(list color bands here)</t>
  </si>
  <si>
    <t xml:space="preserve">I (mA)</t>
  </si>
  <si>
    <t xml:space="preserve">V (V)</t>
  </si>
  <si>
    <t xml:space="preserve">Calculations</t>
  </si>
  <si>
    <r>
      <rPr>
        <sz val="11"/>
        <color theme="1"/>
        <rFont val="Calibri"/>
        <family val="2"/>
        <charset val="1"/>
      </rPr>
      <t xml:space="preserve">Calculate expected values of R</t>
    </r>
    <r>
      <rPr>
        <vertAlign val="subscript"/>
        <sz val="11"/>
        <color rgb="FF000000"/>
        <rFont val="Calibri"/>
        <family val="2"/>
        <charset val="1"/>
      </rPr>
      <t xml:space="preserve">TOT</t>
    </r>
    <r>
      <rPr>
        <sz val="11"/>
        <color theme="1"/>
        <rFont val="Calibri"/>
        <family val="2"/>
        <charset val="1"/>
      </rPr>
      <t xml:space="preserve"> for Resistors in Series</t>
    </r>
  </si>
  <si>
    <t xml:space="preserve">      Compare measured and expected values</t>
  </si>
  <si>
    <t xml:space="preserve">   Resistors #1 &amp; #2</t>
  </si>
  <si>
    <t xml:space="preserve">measured value: </t>
  </si>
  <si>
    <t xml:space="preserve">W</t>
  </si>
  <si>
    <r>
      <rPr>
        <sz val="11"/>
        <color theme="1"/>
        <rFont val="Calibri"/>
        <family val="2"/>
        <charset val="1"/>
      </rPr>
      <t xml:space="preserve">R</t>
    </r>
    <r>
      <rPr>
        <vertAlign val="subscript"/>
        <sz val="11"/>
        <color rgb="FF000000"/>
        <rFont val="Calibri"/>
        <family val="2"/>
        <charset val="1"/>
      </rPr>
      <t xml:space="preserve">TOT</t>
    </r>
  </si>
  <si>
    <t xml:space="preserve">=</t>
  </si>
  <si>
    <r>
      <rPr>
        <sz val="11"/>
        <color theme="1"/>
        <rFont val="Calibri"/>
        <family val="2"/>
        <charset val="1"/>
      </rPr>
      <t xml:space="preserve">R</t>
    </r>
    <r>
      <rPr>
        <vertAlign val="subscript"/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Calibri"/>
        <family val="2"/>
        <charset val="1"/>
      </rPr>
      <t xml:space="preserve">+R</t>
    </r>
    <r>
      <rPr>
        <vertAlign val="subscript"/>
        <sz val="11"/>
        <color theme="1"/>
        <rFont val="Calibri"/>
        <family val="2"/>
        <charset val="1"/>
      </rPr>
      <t xml:space="preserve">2</t>
    </r>
  </si>
  <si>
    <t xml:space="preserve">% diff</t>
  </si>
  <si>
    <t xml:space="preserve">meas - expec</t>
  </si>
  <si>
    <t xml:space="preserve">expec</t>
  </si>
  <si>
    <t xml:space="preserve">   Resistors #1 &amp; #3</t>
  </si>
  <si>
    <r>
      <rPr>
        <sz val="11"/>
        <color theme="1"/>
        <rFont val="Calibri"/>
        <family val="2"/>
        <charset val="1"/>
      </rPr>
      <t xml:space="preserve">R</t>
    </r>
    <r>
      <rPr>
        <vertAlign val="subscript"/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Calibri"/>
        <family val="2"/>
        <charset val="1"/>
      </rPr>
      <t xml:space="preserve">+R</t>
    </r>
    <r>
      <rPr>
        <vertAlign val="subscript"/>
        <sz val="11"/>
        <color theme="1"/>
        <rFont val="Calibri"/>
        <family val="2"/>
        <charset val="1"/>
      </rPr>
      <t xml:space="preserve">3</t>
    </r>
  </si>
  <si>
    <t xml:space="preserve">   Resistors #2 &amp; #3</t>
  </si>
  <si>
    <r>
      <rPr>
        <sz val="11"/>
        <color theme="1"/>
        <rFont val="Calibri"/>
        <family val="2"/>
        <charset val="1"/>
      </rPr>
      <t xml:space="preserve">R</t>
    </r>
    <r>
      <rPr>
        <vertAlign val="subscript"/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Calibri"/>
        <family val="2"/>
        <charset val="1"/>
      </rPr>
      <t xml:space="preserve">+R</t>
    </r>
    <r>
      <rPr>
        <vertAlign val="subscript"/>
        <sz val="11"/>
        <color theme="1"/>
        <rFont val="Calibri"/>
        <family val="2"/>
        <charset val="1"/>
      </rPr>
      <t xml:space="preserve">3</t>
    </r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</si>
</sst>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@"/>
    <numFmt numFmtId="166" formatCode="0.0"/>
    <numFmt numFmtId="167" formatCode="0.00"/>
    <numFmt numFmtId="168" formatCode="0"/>
    <numFmt numFmtId="169" formatCode="0%"/>
    <numFmt numFmtId="170" formatCode="0.0%"/>
    <numFmt numFmtId="171" formatCode="0.000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i val="true"/>
      <sz val="11"/>
      <color theme="1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i val="true"/>
      <sz val="12"/>
      <color theme="1"/>
      <name val="Calibri"/>
      <family val="2"/>
      <charset val="1"/>
    </font>
    <font>
      <sz val="11"/>
      <color rgb="FF000000"/>
      <name val="Symbol"/>
      <family val="1"/>
      <charset val="2"/>
    </font>
    <font>
      <i val="true"/>
      <sz val="11"/>
      <color rgb="FF000000"/>
      <name val="Calibri"/>
      <family val="2"/>
      <charset val="1"/>
    </font>
    <font>
      <sz val="11"/>
      <color theme="1"/>
      <name val="Times New Roman"/>
      <family val="1"/>
      <charset val="1"/>
    </font>
    <font>
      <sz val="11"/>
      <color rgb="FF000000"/>
      <name val="Calibri"/>
      <family val="2"/>
      <charset val="1"/>
    </font>
    <font>
      <b val="true"/>
      <sz val="12"/>
      <color rgb="FF000000"/>
      <name val="Calibri"/>
      <family val="2"/>
      <charset val="1"/>
    </font>
    <font>
      <vertAlign val="subscript"/>
      <sz val="11"/>
      <color rgb="FF000000"/>
      <name val="Calibri"/>
      <family val="2"/>
      <charset val="1"/>
    </font>
    <font>
      <sz val="11"/>
      <color theme="1"/>
      <name val="Symbol"/>
      <family val="1"/>
      <charset val="2"/>
    </font>
    <font>
      <vertAlign val="subscript"/>
      <sz val="11"/>
      <color theme="1"/>
      <name val="Calibri"/>
      <family val="2"/>
      <charset val="1"/>
    </font>
    <font>
      <sz val="13"/>
      <name val="Arial"/>
      <family val="2"/>
    </font>
    <font>
      <sz val="10"/>
      <color rgb="FFFF420E"/>
      <name val="Arial"/>
      <family val="2"/>
    </font>
    <font>
      <sz val="10"/>
      <color rgb="FF83CAFF"/>
      <name val="Arial"/>
      <family val="2"/>
    </font>
    <font>
      <sz val="10"/>
      <color rgb="FFFFD320"/>
      <name val="Arial"/>
      <family val="2"/>
    </font>
    <font>
      <sz val="10"/>
      <name val="Arial"/>
      <family val="2"/>
    </font>
    <font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</fills>
  <borders count="14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9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5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5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7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8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5" fontId="0" fillId="0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4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2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center" textRotation="0" wrapText="false" indent="0" shrinkToFit="false"/>
      <protection locked="true" hidden="false"/>
    </xf>
    <xf numFmtId="167" fontId="0" fillId="0" borderId="13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0" borderId="9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8" fontId="0" fillId="0" borderId="0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7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0" fillId="0" borderId="0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2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83CAFF"/>
      <rgbColor rgb="FFFF99CC"/>
      <rgbColor rgb="FFCC99FF"/>
      <rgbColor rgb="FFFFCC99"/>
      <rgbColor rgb="FF3366FF"/>
      <rgbColor rgb="FF33CCCC"/>
      <rgbColor rgb="FF99CC00"/>
      <rgbColor rgb="FFFFD320"/>
      <rgbColor rgb="FFFF950E"/>
      <rgbColor rgb="FFFF420E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0" sz="1300" strike="noStrike" u="none">
                <a:uFillTx/>
                <a:latin typeface="Arial"/>
              </a:rPr>
              <a:t>Resistors In Parellel
</a:t>
            </a:r>
          </a:p>
          <a:p>
            <a:pPr>
              <a:defRPr b="0" sz="1300" strike="noStrike" u="none">
                <a:uFillTx/>
                <a:latin typeface="Arial"/>
              </a:defRPr>
            </a:pPr>
            <a:r>
              <a:rPr b="0" sz="1100" strike="noStrike" u="none">
                <a:uFillTx/>
                <a:latin typeface="Arial"/>
              </a:rPr>
              <a:t>V(V) v.s. I(mA)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'Resistors in Series'!$D$17</c:f>
              <c:strCache>
                <c:ptCount val="1"/>
                <c:pt idx="0">
                  <c:v>Resistor #2 &amp; #3</c:v>
                </c:pt>
              </c:strCache>
            </c:strRef>
          </c:tx>
          <c:spPr>
            <a:solidFill>
              <a:srgbClr val="ff420e"/>
            </a:solidFill>
            <a:ln w="28800">
              <a:noFill/>
            </a:ln>
          </c:spPr>
          <c:marker>
            <c:symbol val="diamond"/>
            <c:size val="8"/>
            <c:spPr>
              <a:solidFill>
                <a:srgbClr val="ff420e"/>
              </a:solidFill>
            </c:spPr>
          </c:marker>
          <c:dPt>
            <c:idx val="6"/>
            <c:marker>
              <c:symbol val="diamond"/>
              <c:size val="8"/>
              <c:spPr>
                <a:solidFill>
                  <a:srgbClr val="ff420e"/>
                </a:solidFill>
              </c:spPr>
            </c:marker>
          </c:dPt>
          <c:dLbls>
            <c:dLbl>
              <c:idx val="6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0">
                <a:solidFill>
                  <a:srgbClr val="ff420e"/>
                </a:solidFill>
              </a:ln>
            </c:spPr>
            <c:trendlineType val="linear"/>
            <c:forward val="0"/>
            <c:backward val="0"/>
            <c:dispRSqr val="0"/>
            <c:dispEq val="1"/>
          </c:trendline>
          <c:xVal>
            <c:numRef>
              <c:f>'Resistors in Series'!$D$20:$D$29</c:f>
              <c:numCache>
                <c:formatCode>General</c:formatCode>
                <c:ptCount val="10"/>
                <c:pt idx="0">
                  <c:v>1.4</c:v>
                </c:pt>
                <c:pt idx="1">
                  <c:v>2.9</c:v>
                </c:pt>
                <c:pt idx="2">
                  <c:v>4.3</c:v>
                </c:pt>
                <c:pt idx="3">
                  <c:v>5.8</c:v>
                </c:pt>
                <c:pt idx="4">
                  <c:v>7.2</c:v>
                </c:pt>
                <c:pt idx="5">
                  <c:v>8.7</c:v>
                </c:pt>
                <c:pt idx="6">
                  <c:v>10.2</c:v>
                </c:pt>
                <c:pt idx="7">
                  <c:v>11.6</c:v>
                </c:pt>
                <c:pt idx="8">
                  <c:v>13.1</c:v>
                </c:pt>
                <c:pt idx="9">
                  <c:v>14.6</c:v>
                </c:pt>
              </c:numCache>
            </c:numRef>
          </c:xVal>
          <c:yVal>
            <c:numRef>
              <c:f>'Resistors in Series'!$F$20:$F$29</c:f>
              <c:numCache>
                <c:formatCode>0.0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'Resistors in Series'!$H$17</c:f>
              <c:strCache>
                <c:ptCount val="1"/>
                <c:pt idx="0">
                  <c:v>Resistor #1 &amp; #3</c:v>
                </c:pt>
              </c:strCache>
            </c:strRef>
          </c:tx>
          <c:spPr>
            <a:solidFill>
              <a:srgbClr val="83caff"/>
            </a:solidFill>
            <a:ln w="28800">
              <a:noFill/>
            </a:ln>
          </c:spPr>
          <c:marker>
            <c:symbol val="triangle"/>
            <c:size val="8"/>
            <c:spPr>
              <a:solidFill>
                <a:srgbClr val="83caff"/>
              </a:solidFill>
            </c:spPr>
          </c:marker>
          <c:dPt>
            <c:idx val="5"/>
            <c:marker>
              <c:symbol val="triangle"/>
              <c:size val="8"/>
              <c:spPr>
                <a:solidFill>
                  <a:srgbClr val="83caff"/>
                </a:solidFill>
              </c:spPr>
            </c:marker>
          </c:dPt>
          <c:dPt>
            <c:idx val="7"/>
            <c:marker>
              <c:symbol val="triangle"/>
              <c:size val="8"/>
              <c:spPr>
                <a:solidFill>
                  <a:srgbClr val="83caff"/>
                </a:solidFill>
              </c:spPr>
            </c:marker>
          </c:dPt>
          <c:dLbls>
            <c:dLbl>
              <c:idx val="5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7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0">
                <a:solidFill>
                  <a:srgbClr val="83caff"/>
                </a:solidFill>
              </a:ln>
            </c:spPr>
            <c:trendlineType val="linear"/>
            <c:forward val="0"/>
            <c:backward val="0"/>
            <c:dispRSqr val="0"/>
            <c:dispEq val="1"/>
          </c:trendline>
          <c:xVal>
            <c:numRef>
              <c:f>'Resistors in Series'!$H$20:$H$29</c:f>
              <c:numCache>
                <c:formatCode>0.0</c:formatCode>
                <c:ptCount val="10"/>
                <c:pt idx="0">
                  <c:v>1.2</c:v>
                </c:pt>
                <c:pt idx="1">
                  <c:v>2.5</c:v>
                </c:pt>
                <c:pt idx="2">
                  <c:v>3.7</c:v>
                </c:pt>
                <c:pt idx="3">
                  <c:v>5</c:v>
                </c:pt>
                <c:pt idx="4">
                  <c:v>6.2</c:v>
                </c:pt>
                <c:pt idx="5">
                  <c:v>7.5</c:v>
                </c:pt>
                <c:pt idx="6">
                  <c:v>8.8</c:v>
                </c:pt>
                <c:pt idx="7">
                  <c:v>10</c:v>
                </c:pt>
                <c:pt idx="8">
                  <c:v>11.3</c:v>
                </c:pt>
                <c:pt idx="9">
                  <c:v>12.5</c:v>
                </c:pt>
              </c:numCache>
            </c:numRef>
          </c:xVal>
          <c:yVal>
            <c:numRef>
              <c:f>'Resistors in Series'!$J$20:$J$29</c:f>
              <c:numCache>
                <c:formatCode>0.0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'Resistors in Series'!$L$17</c:f>
              <c:strCache>
                <c:ptCount val="1"/>
                <c:pt idx="0">
                  <c:v>Resistor #1 &amp; #2</c:v>
                </c:pt>
              </c:strCache>
            </c:strRef>
          </c:tx>
          <c:spPr>
            <a:solidFill>
              <a:srgbClr val="ff950e"/>
            </a:solidFill>
            <a:ln w="28800">
              <a:noFill/>
            </a:ln>
          </c:spPr>
          <c:marker>
            <c:symbol val="star"/>
            <c:size val="8"/>
            <c:spPr>
              <a:solidFill>
                <a:srgbClr val="ff950e"/>
              </a:solidFill>
            </c:spPr>
          </c:marker>
          <c:dPt>
            <c:idx val="4"/>
            <c:marker>
              <c:symbol val="star"/>
              <c:size val="8"/>
              <c:spPr>
                <a:solidFill>
                  <a:srgbClr val="ff950e"/>
                </a:solidFill>
              </c:spPr>
            </c:marker>
          </c:dPt>
          <c:dLbls>
            <c:dLbl>
              <c:idx val="4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0">
                <a:solidFill>
                  <a:srgbClr val="ff950e"/>
                </a:solidFill>
              </a:ln>
            </c:spPr>
            <c:trendlineType val="linear"/>
            <c:forward val="0"/>
            <c:backward val="0"/>
            <c:dispRSqr val="0"/>
            <c:dispEq val="1"/>
          </c:trendline>
          <c:xVal>
            <c:numRef>
              <c:f>'Resistors in Series'!$L$20:$L$29</c:f>
              <c:numCache>
                <c:formatCode>General</c:formatCode>
                <c:ptCount val="10"/>
                <c:pt idx="0">
                  <c:v>1.8</c:v>
                </c:pt>
                <c:pt idx="1">
                  <c:v>3.6</c:v>
                </c:pt>
                <c:pt idx="2">
                  <c:v>5.4</c:v>
                </c:pt>
                <c:pt idx="3">
                  <c:v>7.3</c:v>
                </c:pt>
                <c:pt idx="4">
                  <c:v>9.1</c:v>
                </c:pt>
                <c:pt idx="5">
                  <c:v>10.9</c:v>
                </c:pt>
                <c:pt idx="6">
                  <c:v>12.8</c:v>
                </c:pt>
                <c:pt idx="7">
                  <c:v>14.6</c:v>
                </c:pt>
                <c:pt idx="8">
                  <c:v>16.4</c:v>
                </c:pt>
                <c:pt idx="9">
                  <c:v>18.3</c:v>
                </c:pt>
              </c:numCache>
            </c:numRef>
          </c:xVal>
          <c:yVal>
            <c:numRef>
              <c:f>'Resistors in Series'!$N$20:$N$29</c:f>
              <c:numCache>
                <c:formatCode>0.0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yVal>
          <c:smooth val="0"/>
        </c:ser>
        <c:axId val="32646037"/>
        <c:axId val="10506126"/>
      </c:scatterChart>
      <c:valAx>
        <c:axId val="3264603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0" sz="900" strike="noStrike" u="none">
                    <a:uFillTx/>
                    <a:latin typeface="Arial"/>
                  </a:rPr>
                  <a:t>I(mA)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uFillTx/>
                <a:latin typeface="Arial"/>
              </a:defRPr>
            </a:pPr>
          </a:p>
        </c:txPr>
        <c:crossAx val="10506126"/>
        <c:crosses val="autoZero"/>
        <c:crossBetween val="between"/>
      </c:valAx>
      <c:valAx>
        <c:axId val="1050612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0" sz="900" strike="noStrike" u="none">
                    <a:uFillTx/>
                    <a:latin typeface="Arial"/>
                  </a:rPr>
                  <a:t>V(V)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uFillTx/>
                <a:latin typeface="Arial"/>
              </a:defRPr>
            </a:pPr>
          </a:p>
        </c:txPr>
        <c:crossAx val="32646037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uFillTx/>
              <a:latin typeface="Arial"/>
            </a:defRPr>
          </a:pPr>
        </a:p>
      </c:txPr>
    </c:legend>
    <c:plotVisOnly val="1"/>
    <c:dispBlanksAs val="span"/>
  </c:chart>
  <c:spPr>
    <a:solidFill>
      <a:srgbClr val="ffffff"/>
    </a:solidFill>
    <a:ln w="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0" sz="1300" strike="noStrike" u="none">
                <a:uFillTx/>
                <a:latin typeface="Arial"/>
              </a:rPr>
              <a:t>Resistors In Parrellel
</a:t>
            </a:r>
          </a:p>
          <a:p>
            <a:pPr>
              <a:defRPr b="0" sz="1300" strike="noStrike" u="none">
                <a:uFillTx/>
                <a:latin typeface="Arial"/>
              </a:defRPr>
            </a:pPr>
            <a:r>
              <a:rPr b="0" sz="1100" strike="noStrike" u="none">
                <a:uFillTx/>
                <a:latin typeface="Arial"/>
              </a:rPr>
              <a:t>V(V) v.s. I(mA)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'Resistors in Parallel'!$D$17</c:f>
              <c:strCache>
                <c:ptCount val="1"/>
                <c:pt idx="0">
                  <c:v>Resistor #1 &amp; #2</c:v>
                </c:pt>
              </c:strCache>
            </c:strRef>
          </c:tx>
          <c:spPr>
            <a:solidFill>
              <a:srgbClr val="ff420e"/>
            </a:solidFill>
            <a:ln w="28800">
              <a:noFill/>
            </a:ln>
          </c:spPr>
          <c:marker>
            <c:symbol val="diamond"/>
            <c:size val="8"/>
            <c:spPr>
              <a:solidFill>
                <a:srgbClr val="ff420e"/>
              </a:solidFill>
            </c:spPr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0">
                <a:solidFill>
                  <a:srgbClr val="ff420e"/>
                </a:solidFill>
              </a:ln>
            </c:spPr>
            <c:trendlineType val="linear"/>
            <c:forward val="0"/>
            <c:backward val="0"/>
            <c:dispRSqr val="0"/>
            <c:dispEq val="1"/>
          </c:trendline>
          <c:xVal>
            <c:numRef>
              <c:f>'Resistors in Parallel'!$D$20:$D$29</c:f>
              <c:numCache>
                <c:formatCode>0.00</c:formatCode>
                <c:ptCount val="10"/>
                <c:pt idx="0">
                  <c:v>5.2</c:v>
                </c:pt>
                <c:pt idx="1">
                  <c:v>10.4</c:v>
                </c:pt>
                <c:pt idx="2">
                  <c:v>15.5</c:v>
                </c:pt>
                <c:pt idx="3">
                  <c:v>20.7</c:v>
                </c:pt>
                <c:pt idx="4">
                  <c:v>25.9</c:v>
                </c:pt>
                <c:pt idx="5">
                  <c:v>31.1</c:v>
                </c:pt>
                <c:pt idx="6">
                  <c:v>36.4</c:v>
                </c:pt>
                <c:pt idx="7">
                  <c:v>41.6</c:v>
                </c:pt>
                <c:pt idx="8">
                  <c:v>47</c:v>
                </c:pt>
                <c:pt idx="9">
                  <c:v>52.2</c:v>
                </c:pt>
              </c:numCache>
            </c:numRef>
          </c:xVal>
          <c:yVal>
            <c:numRef>
              <c:f>'Resistors in Parallel'!$F$20:$F$29</c:f>
              <c:numCache>
                <c:formatCode>0.0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'Resistors in Parallel'!$H$17</c:f>
              <c:strCache>
                <c:ptCount val="1"/>
                <c:pt idx="0">
                  <c:v>Resistor #2 &amp; #3</c:v>
                </c:pt>
              </c:strCache>
            </c:strRef>
          </c:tx>
          <c:spPr>
            <a:solidFill>
              <a:srgbClr val="83caff"/>
            </a:solidFill>
            <a:ln w="28800">
              <a:noFill/>
            </a:ln>
          </c:spPr>
          <c:marker>
            <c:symbol val="triangle"/>
            <c:size val="8"/>
            <c:spPr>
              <a:solidFill>
                <a:srgbClr val="83caff"/>
              </a:solidFill>
            </c:spPr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0">
                <a:solidFill>
                  <a:srgbClr val="83caff"/>
                </a:solidFill>
              </a:ln>
            </c:spPr>
            <c:trendlineType val="linear"/>
            <c:forward val="0"/>
            <c:backward val="0"/>
            <c:dispRSqr val="0"/>
            <c:dispEq val="1"/>
          </c:trendline>
          <c:xVal>
            <c:numRef>
              <c:f>'Resistors in Parallel'!$H$20:$H$29</c:f>
              <c:numCache>
                <c:formatCode>0.0</c:formatCode>
                <c:ptCount val="10"/>
                <c:pt idx="0">
                  <c:v>6.7</c:v>
                </c:pt>
                <c:pt idx="1">
                  <c:v>13.2</c:v>
                </c:pt>
                <c:pt idx="2">
                  <c:v>19.9</c:v>
                </c:pt>
                <c:pt idx="3">
                  <c:v>26.6</c:v>
                </c:pt>
                <c:pt idx="4">
                  <c:v>33.2</c:v>
                </c:pt>
                <c:pt idx="5">
                  <c:v>40</c:v>
                </c:pt>
                <c:pt idx="6">
                  <c:v>46.6</c:v>
                </c:pt>
                <c:pt idx="7">
                  <c:v>53.4</c:v>
                </c:pt>
                <c:pt idx="8">
                  <c:v>60.2</c:v>
                </c:pt>
                <c:pt idx="9">
                  <c:v>67.2</c:v>
                </c:pt>
              </c:numCache>
            </c:numRef>
          </c:xVal>
          <c:yVal>
            <c:numRef>
              <c:f>'Resistors in Parallel'!$J$20:$J$29</c:f>
              <c:numCache>
                <c:formatCode>0.0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'Resistors in Parallel'!$L$17</c:f>
              <c:strCache>
                <c:ptCount val="1"/>
                <c:pt idx="0">
                  <c:v>Resistor #1 &amp; #3</c:v>
                </c:pt>
              </c:strCache>
            </c:strRef>
          </c:tx>
          <c:spPr>
            <a:solidFill>
              <a:srgbClr val="ff950e"/>
            </a:solidFill>
            <a:ln w="28800">
              <a:noFill/>
            </a:ln>
          </c:spPr>
          <c:marker>
            <c:symbol val="star"/>
            <c:size val="8"/>
            <c:spPr>
              <a:solidFill>
                <a:srgbClr val="ff950e"/>
              </a:solidFill>
            </c:spPr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0">
                <a:solidFill>
                  <a:srgbClr val="ff950e"/>
                </a:solidFill>
              </a:ln>
            </c:spPr>
            <c:trendlineType val="linear"/>
            <c:forward val="0"/>
            <c:backward val="0"/>
            <c:dispRSqr val="0"/>
            <c:dispEq val="1"/>
          </c:trendline>
          <c:xVal>
            <c:numRef>
              <c:f>'Resistors in Parallel'!$L$20:$L$29</c:f>
              <c:numCache>
                <c:formatCode>General</c:formatCode>
                <c:ptCount val="10"/>
                <c:pt idx="0">
                  <c:v>7.6</c:v>
                </c:pt>
                <c:pt idx="1">
                  <c:v>15.2</c:v>
                </c:pt>
                <c:pt idx="2">
                  <c:v>22.8</c:v>
                </c:pt>
                <c:pt idx="3">
                  <c:v>30.5</c:v>
                </c:pt>
                <c:pt idx="4">
                  <c:v>38.1</c:v>
                </c:pt>
                <c:pt idx="5">
                  <c:v>45.8</c:v>
                </c:pt>
                <c:pt idx="6">
                  <c:v>53.6</c:v>
                </c:pt>
                <c:pt idx="7">
                  <c:v>61.3</c:v>
                </c:pt>
                <c:pt idx="8">
                  <c:v>69.2</c:v>
                </c:pt>
                <c:pt idx="9">
                  <c:v>77.1</c:v>
                </c:pt>
              </c:numCache>
            </c:numRef>
          </c:xVal>
          <c:yVal>
            <c:numRef>
              <c:f>'Resistors in Parallel'!$N$20:$N$29</c:f>
              <c:numCache>
                <c:formatCode>0.0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yVal>
          <c:smooth val="0"/>
        </c:ser>
        <c:axId val="28990126"/>
        <c:axId val="83512709"/>
      </c:scatterChart>
      <c:valAx>
        <c:axId val="2899012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0" sz="900" strike="noStrike" u="none">
                    <a:uFillTx/>
                    <a:latin typeface="Arial"/>
                  </a:rPr>
                  <a:t>I(mA)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uFillTx/>
                <a:latin typeface="Arial"/>
              </a:defRPr>
            </a:pPr>
          </a:p>
        </c:txPr>
        <c:crossAx val="83512709"/>
        <c:crosses val="autoZero"/>
        <c:crossBetween val="between"/>
      </c:valAx>
      <c:valAx>
        <c:axId val="8351270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0" sz="900" strike="noStrike" u="none">
                    <a:uFillTx/>
                    <a:latin typeface="Arial"/>
                  </a:rPr>
                  <a:t>V(V)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uFillTx/>
                <a:latin typeface="Arial"/>
              </a:defRPr>
            </a:pPr>
          </a:p>
        </c:txPr>
        <c:crossAx val="28990126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uFillTx/>
              <a:latin typeface="Arial"/>
            </a:defRPr>
          </a:pPr>
        </a:p>
      </c:txPr>
    </c:legend>
    <c:plotVisOnly val="1"/>
    <c:dispBlanksAs val="span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15</xdr:col>
      <xdr:colOff>362520</xdr:colOff>
      <xdr:row>18</xdr:row>
      <xdr:rowOff>114840</xdr:rowOff>
    </xdr:from>
    <xdr:to>
      <xdr:col>26</xdr:col>
      <xdr:colOff>556920</xdr:colOff>
      <xdr:row>27</xdr:row>
      <xdr:rowOff>297000</xdr:rowOff>
    </xdr:to>
    <xdr:graphicFrame>
      <xdr:nvGraphicFramePr>
        <xdr:cNvPr id="0" name=""/>
        <xdr:cNvGraphicFramePr/>
      </xdr:nvGraphicFramePr>
      <xdr:xfrm>
        <a:off x="6916320" y="449640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15</xdr:col>
      <xdr:colOff>206640</xdr:colOff>
      <xdr:row>19</xdr:row>
      <xdr:rowOff>36000</xdr:rowOff>
    </xdr:from>
    <xdr:to>
      <xdr:col>26</xdr:col>
      <xdr:colOff>401040</xdr:colOff>
      <xdr:row>28</xdr:row>
      <xdr:rowOff>275400</xdr:rowOff>
    </xdr:to>
    <xdr:graphicFrame>
      <xdr:nvGraphicFramePr>
        <xdr:cNvPr id="1" name=""/>
        <xdr:cNvGraphicFramePr/>
      </xdr:nvGraphicFramePr>
      <xdr:xfrm>
        <a:off x="6760440" y="480816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C1:AD52"/>
  <sheetViews>
    <sheetView showFormulas="false" showGridLines="true" showRowColHeaders="true" showZeros="true" rightToLeft="false" tabSelected="false" showOutlineSymbols="true" defaultGridColor="true" view="normal" topLeftCell="B10" colorId="64" zoomScale="100" zoomScaleNormal="100" zoomScalePageLayoutView="100" workbookViewId="0">
      <selection pane="topLeft" activeCell="D17" activeCellId="0" sqref="D17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4.86"/>
    <col collapsed="false" customWidth="true" hidden="false" outlineLevel="0" max="3" min="2" style="1" width="2.71"/>
    <col collapsed="false" customWidth="true" hidden="false" outlineLevel="0" max="4" min="4" style="1" width="11"/>
    <col collapsed="false" customWidth="true" hidden="false" outlineLevel="0" max="5" min="5" style="1" width="2.71"/>
    <col collapsed="false" customWidth="true" hidden="false" outlineLevel="0" max="6" min="6" style="1" width="11"/>
    <col collapsed="false" customWidth="true" hidden="false" outlineLevel="0" max="7" min="7" style="1" width="2.71"/>
    <col collapsed="false" customWidth="true" hidden="false" outlineLevel="0" max="8" min="8" style="1" width="11"/>
    <col collapsed="false" customWidth="true" hidden="false" outlineLevel="0" max="9" min="9" style="1" width="2.71"/>
    <col collapsed="false" customWidth="true" hidden="false" outlineLevel="0" max="10" min="10" style="1" width="11"/>
    <col collapsed="false" customWidth="true" hidden="false" outlineLevel="0" max="11" min="11" style="1" width="2.71"/>
    <col collapsed="false" customWidth="true" hidden="false" outlineLevel="0" max="12" min="12" style="1" width="11"/>
    <col collapsed="false" customWidth="true" hidden="false" outlineLevel="0" max="13" min="13" style="1" width="2.29"/>
    <col collapsed="false" customWidth="true" hidden="false" outlineLevel="0" max="14" min="14" style="1" width="11"/>
    <col collapsed="false" customWidth="true" hidden="false" outlineLevel="0" max="15" min="15" style="1" width="3.57"/>
    <col collapsed="false" customWidth="true" hidden="false" outlineLevel="0" max="16" min="16" style="1" width="10.14"/>
    <col collapsed="false" customWidth="true" hidden="false" outlineLevel="0" max="17" min="17" style="1" width="3.57"/>
    <col collapsed="false" customWidth="true" hidden="false" outlineLevel="0" max="18" min="18" style="1" width="18.29"/>
    <col collapsed="false" customWidth="true" hidden="false" outlineLevel="0" max="19" min="19" style="1" width="3.57"/>
    <col collapsed="false" customWidth="true" hidden="false" outlineLevel="0" max="20" min="20" style="1" width="7.16"/>
    <col collapsed="false" customWidth="true" hidden="false" outlineLevel="0" max="21" min="21" style="1" width="4"/>
    <col collapsed="false" customWidth="true" hidden="false" outlineLevel="0" max="22" min="22" style="1" width="3.57"/>
    <col collapsed="false" customWidth="true" hidden="false" outlineLevel="0" max="24" min="24" style="1" width="3.57"/>
    <col collapsed="false" customWidth="true" hidden="false" outlineLevel="0" max="25" min="25" style="1" width="12.86"/>
    <col collapsed="false" customWidth="true" hidden="false" outlineLevel="0" max="26" min="26" style="1" width="3.57"/>
    <col collapsed="false" customWidth="true" hidden="false" outlineLevel="0" max="27" min="27" style="1" width="16"/>
    <col collapsed="false" customWidth="true" hidden="false" outlineLevel="0" max="28" min="28" style="1" width="3.57"/>
    <col collapsed="false" customWidth="true" hidden="false" outlineLevel="0" max="30" min="30" style="1" width="2.29"/>
  </cols>
  <sheetData>
    <row r="1" customFormat="false" ht="15" hidden="false" customHeight="false" outlineLevel="0" collapsed="false"/>
    <row r="2" customFormat="false" ht="27.75" hidden="false" customHeight="true" outlineLevel="0" collapsed="false">
      <c r="C2" s="2"/>
      <c r="D2" s="3" t="s">
        <v>0</v>
      </c>
      <c r="E2" s="4" t="s">
        <v>1</v>
      </c>
      <c r="F2" s="4"/>
      <c r="G2" s="4"/>
      <c r="H2" s="4"/>
      <c r="I2" s="4"/>
      <c r="J2" s="4"/>
      <c r="K2" s="4"/>
      <c r="L2" s="4"/>
      <c r="M2" s="5"/>
      <c r="N2" s="5"/>
    </row>
    <row r="3" customFormat="false" ht="27.75" hidden="false" customHeight="true" outlineLevel="0" collapsed="false">
      <c r="C3" s="6"/>
      <c r="D3" s="7" t="s">
        <v>2</v>
      </c>
      <c r="E3" s="8" t="s">
        <v>3</v>
      </c>
      <c r="F3" s="8"/>
      <c r="G3" s="8"/>
      <c r="H3" s="8"/>
      <c r="I3" s="8"/>
      <c r="J3" s="8"/>
      <c r="K3" s="8"/>
      <c r="L3" s="8"/>
      <c r="M3" s="5"/>
      <c r="N3" s="5"/>
    </row>
    <row r="4" customFormat="false" ht="27.75" hidden="false" customHeight="true" outlineLevel="0" collapsed="false">
      <c r="C4" s="9"/>
      <c r="D4" s="10" t="s">
        <v>4</v>
      </c>
      <c r="E4" s="11" t="s">
        <v>5</v>
      </c>
      <c r="F4" s="11"/>
      <c r="G4" s="11"/>
      <c r="H4" s="11"/>
      <c r="I4" s="12"/>
      <c r="J4" s="13" t="s">
        <v>6</v>
      </c>
      <c r="K4" s="14" t="s">
        <v>7</v>
      </c>
      <c r="L4" s="14"/>
      <c r="M4" s="5"/>
      <c r="N4" s="5"/>
    </row>
    <row r="5" customFormat="false" ht="16.5" hidden="false" customHeight="true" outlineLevel="0" collapsed="false"/>
    <row r="6" customFormat="false" ht="10.5" hidden="false" customHeight="true" outlineLevel="0" collapsed="false">
      <c r="C6" s="2"/>
      <c r="D6" s="15"/>
      <c r="E6" s="15"/>
      <c r="F6" s="15"/>
      <c r="G6" s="15"/>
      <c r="H6" s="15"/>
      <c r="I6" s="15"/>
      <c r="J6" s="15"/>
      <c r="K6" s="16"/>
      <c r="N6" s="17"/>
      <c r="O6" s="17"/>
      <c r="P6" s="17"/>
      <c r="Q6" s="17"/>
    </row>
    <row r="7" customFormat="false" ht="21.75" hidden="false" customHeight="true" outlineLevel="0" collapsed="false">
      <c r="C7" s="6"/>
      <c r="D7" s="18" t="s">
        <v>8</v>
      </c>
      <c r="E7" s="18"/>
      <c r="F7" s="18"/>
      <c r="G7" s="18"/>
      <c r="H7" s="18"/>
      <c r="I7" s="18"/>
      <c r="J7" s="18"/>
      <c r="K7" s="19"/>
      <c r="L7" s="20"/>
      <c r="M7" s="21"/>
      <c r="N7" s="21"/>
      <c r="O7" s="21"/>
      <c r="P7" s="22"/>
      <c r="Q7" s="22"/>
    </row>
    <row r="8" customFormat="false" ht="9.75" hidden="false" customHeight="true" outlineLevel="0" collapsed="false">
      <c r="C8" s="23"/>
      <c r="D8" s="24"/>
      <c r="E8" s="24"/>
      <c r="F8" s="24"/>
      <c r="G8" s="24"/>
      <c r="K8" s="19"/>
      <c r="L8" s="20"/>
      <c r="M8" s="21"/>
      <c r="N8" s="21"/>
      <c r="O8" s="21"/>
      <c r="P8" s="22"/>
      <c r="Q8" s="22"/>
      <c r="R8" s="25"/>
      <c r="S8" s="25"/>
      <c r="T8" s="25"/>
      <c r="U8" s="25"/>
      <c r="V8" s="25"/>
    </row>
    <row r="9" customFormat="false" ht="24" hidden="false" customHeight="true" outlineLevel="0" collapsed="false">
      <c r="C9" s="26"/>
      <c r="D9" s="27" t="s">
        <v>9</v>
      </c>
      <c r="E9" s="28"/>
      <c r="F9" s="27" t="s">
        <v>10</v>
      </c>
      <c r="G9" s="27"/>
      <c r="H9" s="27"/>
      <c r="J9" s="29" t="s">
        <v>11</v>
      </c>
      <c r="K9" s="19"/>
      <c r="L9" s="20"/>
      <c r="M9" s="21"/>
      <c r="N9" s="21"/>
      <c r="O9" s="21"/>
      <c r="P9" s="22"/>
      <c r="Q9" s="22"/>
      <c r="R9" s="24"/>
      <c r="S9" s="24"/>
    </row>
    <row r="10" customFormat="false" ht="24" hidden="false" customHeight="true" outlineLevel="0" collapsed="false">
      <c r="C10" s="30"/>
      <c r="D10" s="31" t="s">
        <v>12</v>
      </c>
      <c r="E10" s="32"/>
      <c r="F10" s="33" t="s">
        <v>13</v>
      </c>
      <c r="G10" s="33"/>
      <c r="H10" s="33"/>
      <c r="J10" s="28" t="s">
        <v>14</v>
      </c>
      <c r="K10" s="19"/>
      <c r="L10" s="20"/>
      <c r="M10" s="21"/>
      <c r="N10" s="21"/>
      <c r="O10" s="21"/>
      <c r="P10" s="22"/>
      <c r="Q10" s="22"/>
      <c r="R10" s="25"/>
      <c r="S10" s="25"/>
      <c r="T10" s="25"/>
      <c r="V10" s="28"/>
    </row>
    <row r="11" customFormat="false" ht="24" hidden="false" customHeight="true" outlineLevel="0" collapsed="false">
      <c r="C11" s="30"/>
      <c r="D11" s="31" t="s">
        <v>15</v>
      </c>
      <c r="E11" s="32"/>
      <c r="F11" s="33" t="s">
        <v>16</v>
      </c>
      <c r="G11" s="33"/>
      <c r="H11" s="33"/>
      <c r="J11" s="28" t="s">
        <v>17</v>
      </c>
      <c r="K11" s="19"/>
      <c r="L11" s="20"/>
      <c r="M11" s="21"/>
      <c r="N11" s="21"/>
      <c r="O11" s="21"/>
      <c r="P11" s="22"/>
      <c r="Q11" s="22"/>
      <c r="R11" s="34"/>
      <c r="S11" s="34"/>
      <c r="T11" s="34"/>
    </row>
    <row r="12" customFormat="false" ht="24" hidden="false" customHeight="true" outlineLevel="0" collapsed="false">
      <c r="C12" s="30"/>
      <c r="D12" s="31" t="s">
        <v>18</v>
      </c>
      <c r="E12" s="32"/>
      <c r="F12" s="33" t="s">
        <v>19</v>
      </c>
      <c r="G12" s="33"/>
      <c r="H12" s="33"/>
      <c r="J12" s="28" t="s">
        <v>20</v>
      </c>
      <c r="K12" s="19"/>
      <c r="L12" s="20"/>
      <c r="M12" s="21"/>
      <c r="N12" s="21"/>
      <c r="O12" s="21"/>
      <c r="P12" s="22"/>
      <c r="Q12" s="22"/>
      <c r="R12" s="34"/>
      <c r="S12" s="34"/>
      <c r="T12" s="34"/>
    </row>
    <row r="13" customFormat="false" ht="10.5" hidden="false" customHeight="true" outlineLevel="0" collapsed="false">
      <c r="C13" s="9"/>
      <c r="D13" s="35"/>
      <c r="E13" s="35"/>
      <c r="F13" s="35"/>
      <c r="G13" s="35"/>
      <c r="H13" s="35"/>
      <c r="I13" s="35"/>
      <c r="J13" s="35"/>
      <c r="K13" s="36"/>
      <c r="Q13" s="32"/>
      <c r="R13" s="34"/>
      <c r="S13" s="34"/>
      <c r="T13" s="34"/>
    </row>
    <row r="14" customFormat="false" ht="15" hidden="false" customHeight="false" outlineLevel="0" collapsed="false"/>
    <row r="15" customFormat="false" ht="14.25" hidden="false" customHeight="true" outlineLevel="0" collapsed="false">
      <c r="C15" s="2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6"/>
    </row>
    <row r="16" customFormat="false" ht="26.25" hidden="false" customHeight="true" outlineLevel="0" collapsed="false">
      <c r="C16" s="6"/>
      <c r="D16" s="18" t="s">
        <v>21</v>
      </c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9"/>
    </row>
    <row r="17" customFormat="false" ht="18" hidden="false" customHeight="true" outlineLevel="0" collapsed="false">
      <c r="C17" s="6"/>
      <c r="D17" s="37" t="s">
        <v>22</v>
      </c>
      <c r="E17" s="37"/>
      <c r="F17" s="37"/>
      <c r="G17" s="32"/>
      <c r="H17" s="37" t="s">
        <v>23</v>
      </c>
      <c r="I17" s="37"/>
      <c r="J17" s="37"/>
      <c r="K17" s="32"/>
      <c r="L17" s="37" t="s">
        <v>24</v>
      </c>
      <c r="M17" s="37"/>
      <c r="N17" s="37"/>
      <c r="O17" s="19"/>
    </row>
    <row r="18" customFormat="false" ht="8.25" hidden="false" customHeight="true" outlineLevel="0" collapsed="false">
      <c r="C18" s="6"/>
      <c r="D18" s="38" t="s">
        <v>25</v>
      </c>
      <c r="E18" s="38"/>
      <c r="F18" s="38"/>
      <c r="G18" s="32"/>
      <c r="H18" s="38" t="s">
        <v>25</v>
      </c>
      <c r="I18" s="38"/>
      <c r="J18" s="38"/>
      <c r="K18" s="32"/>
      <c r="L18" s="38" t="s">
        <v>25</v>
      </c>
      <c r="M18" s="38"/>
      <c r="N18" s="38"/>
      <c r="O18" s="19"/>
    </row>
    <row r="19" customFormat="false" ht="30.75" hidden="false" customHeight="true" outlineLevel="0" collapsed="false">
      <c r="C19" s="6"/>
      <c r="D19" s="39" t="s">
        <v>26</v>
      </c>
      <c r="F19" s="39" t="s">
        <v>27</v>
      </c>
      <c r="G19" s="28"/>
      <c r="H19" s="39" t="s">
        <v>26</v>
      </c>
      <c r="J19" s="39" t="s">
        <v>27</v>
      </c>
      <c r="L19" s="39" t="s">
        <v>26</v>
      </c>
      <c r="N19" s="39" t="s">
        <v>27</v>
      </c>
      <c r="O19" s="19"/>
    </row>
    <row r="20" customFormat="false" ht="26.25" hidden="false" customHeight="true" outlineLevel="0" collapsed="false">
      <c r="C20" s="6"/>
      <c r="D20" s="1" t="n">
        <v>1.4</v>
      </c>
      <c r="F20" s="40" t="n">
        <v>1</v>
      </c>
      <c r="H20" s="40" t="n">
        <v>1.2</v>
      </c>
      <c r="J20" s="40" t="n">
        <v>1</v>
      </c>
      <c r="L20" s="1" t="n">
        <v>1.8</v>
      </c>
      <c r="N20" s="40" t="n">
        <v>1</v>
      </c>
      <c r="O20" s="19"/>
    </row>
    <row r="21" customFormat="false" ht="26.25" hidden="false" customHeight="true" outlineLevel="0" collapsed="false">
      <c r="C21" s="6"/>
      <c r="D21" s="1" t="n">
        <v>2.9</v>
      </c>
      <c r="F21" s="40" t="n">
        <v>2</v>
      </c>
      <c r="H21" s="40" t="n">
        <v>2.5</v>
      </c>
      <c r="J21" s="40" t="n">
        <v>2</v>
      </c>
      <c r="L21" s="1" t="n">
        <v>3.6</v>
      </c>
      <c r="N21" s="40" t="n">
        <v>2</v>
      </c>
      <c r="O21" s="19"/>
    </row>
    <row r="22" customFormat="false" ht="26.25" hidden="false" customHeight="true" outlineLevel="0" collapsed="false">
      <c r="C22" s="6"/>
      <c r="D22" s="1" t="n">
        <v>4.3</v>
      </c>
      <c r="F22" s="40" t="n">
        <v>3</v>
      </c>
      <c r="H22" s="40" t="n">
        <v>3.7</v>
      </c>
      <c r="J22" s="40" t="n">
        <v>3</v>
      </c>
      <c r="L22" s="1" t="n">
        <v>5.4</v>
      </c>
      <c r="N22" s="40" t="n">
        <v>3</v>
      </c>
      <c r="O22" s="19"/>
    </row>
    <row r="23" customFormat="false" ht="26.25" hidden="false" customHeight="true" outlineLevel="0" collapsed="false">
      <c r="C23" s="6"/>
      <c r="D23" s="1" t="n">
        <v>5.8</v>
      </c>
      <c r="F23" s="40" t="n">
        <v>4</v>
      </c>
      <c r="H23" s="40" t="n">
        <v>5</v>
      </c>
      <c r="J23" s="40" t="n">
        <v>4</v>
      </c>
      <c r="L23" s="1" t="n">
        <v>7.3</v>
      </c>
      <c r="N23" s="40" t="n">
        <v>4</v>
      </c>
      <c r="O23" s="19"/>
    </row>
    <row r="24" customFormat="false" ht="26.25" hidden="false" customHeight="true" outlineLevel="0" collapsed="false">
      <c r="C24" s="6"/>
      <c r="D24" s="1" t="n">
        <v>7.2</v>
      </c>
      <c r="F24" s="40" t="n">
        <v>5</v>
      </c>
      <c r="H24" s="40" t="n">
        <v>6.2</v>
      </c>
      <c r="J24" s="40" t="n">
        <v>5</v>
      </c>
      <c r="L24" s="1" t="n">
        <v>9.1</v>
      </c>
      <c r="N24" s="40" t="n">
        <v>5</v>
      </c>
      <c r="O24" s="19"/>
    </row>
    <row r="25" customFormat="false" ht="26.25" hidden="false" customHeight="true" outlineLevel="0" collapsed="false">
      <c r="C25" s="6"/>
      <c r="D25" s="1" t="n">
        <v>8.7</v>
      </c>
      <c r="F25" s="40" t="n">
        <v>6</v>
      </c>
      <c r="H25" s="40" t="n">
        <v>7.5</v>
      </c>
      <c r="J25" s="40" t="n">
        <v>6</v>
      </c>
      <c r="L25" s="1" t="n">
        <v>10.9</v>
      </c>
      <c r="N25" s="40" t="n">
        <v>6</v>
      </c>
      <c r="O25" s="19"/>
    </row>
    <row r="26" customFormat="false" ht="26.25" hidden="false" customHeight="true" outlineLevel="0" collapsed="false">
      <c r="C26" s="6"/>
      <c r="D26" s="1" t="n">
        <v>10.2</v>
      </c>
      <c r="F26" s="40" t="n">
        <v>7</v>
      </c>
      <c r="H26" s="40" t="n">
        <v>8.8</v>
      </c>
      <c r="J26" s="40" t="n">
        <v>7</v>
      </c>
      <c r="L26" s="1" t="n">
        <v>12.8</v>
      </c>
      <c r="N26" s="40" t="n">
        <v>7</v>
      </c>
      <c r="O26" s="19"/>
    </row>
    <row r="27" customFormat="false" ht="26.25" hidden="false" customHeight="true" outlineLevel="0" collapsed="false">
      <c r="C27" s="6"/>
      <c r="D27" s="1" t="n">
        <v>11.6</v>
      </c>
      <c r="F27" s="40" t="n">
        <v>8</v>
      </c>
      <c r="H27" s="40" t="n">
        <v>10</v>
      </c>
      <c r="J27" s="40" t="n">
        <v>8</v>
      </c>
      <c r="L27" s="1" t="n">
        <v>14.6</v>
      </c>
      <c r="N27" s="40" t="n">
        <v>8</v>
      </c>
      <c r="O27" s="19"/>
    </row>
    <row r="28" customFormat="false" ht="26.25" hidden="false" customHeight="true" outlineLevel="0" collapsed="false">
      <c r="C28" s="6"/>
      <c r="D28" s="1" t="n">
        <v>13.1</v>
      </c>
      <c r="F28" s="40" t="n">
        <v>9</v>
      </c>
      <c r="H28" s="40" t="n">
        <v>11.3</v>
      </c>
      <c r="J28" s="40" t="n">
        <v>9</v>
      </c>
      <c r="L28" s="1" t="n">
        <v>16.4</v>
      </c>
      <c r="N28" s="40" t="n">
        <v>9</v>
      </c>
      <c r="O28" s="19"/>
    </row>
    <row r="29" customFormat="false" ht="26.25" hidden="false" customHeight="true" outlineLevel="0" collapsed="false">
      <c r="C29" s="6"/>
      <c r="D29" s="1" t="n">
        <v>14.6</v>
      </c>
      <c r="F29" s="40" t="n">
        <v>10</v>
      </c>
      <c r="H29" s="40" t="n">
        <v>12.5</v>
      </c>
      <c r="J29" s="40" t="n">
        <v>10</v>
      </c>
      <c r="L29" s="1" t="n">
        <v>18.3</v>
      </c>
      <c r="N29" s="40" t="n">
        <v>10</v>
      </c>
      <c r="O29" s="19"/>
    </row>
    <row r="30" customFormat="false" ht="14.25" hidden="false" customHeight="true" outlineLevel="0" collapsed="false">
      <c r="C30" s="6"/>
      <c r="O30" s="19"/>
    </row>
    <row r="31" customFormat="false" ht="15" hidden="false" customHeight="false" outlineLevel="0" collapsed="false">
      <c r="C31" s="9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6"/>
    </row>
    <row r="32" customFormat="false" ht="15" hidden="false" customHeight="false" outlineLevel="0" collapsed="false"/>
    <row r="33" customFormat="false" ht="12" hidden="false" customHeight="true" outlineLevel="0" collapsed="false">
      <c r="M33" s="2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6"/>
    </row>
    <row r="34" customFormat="false" ht="21.75" hidden="false" customHeight="true" outlineLevel="0" collapsed="false">
      <c r="M34" s="6"/>
      <c r="N34" s="41" t="s">
        <v>28</v>
      </c>
      <c r="O34" s="41"/>
      <c r="P34" s="41"/>
      <c r="AD34" s="19"/>
    </row>
    <row r="35" customFormat="false" ht="21.75" hidden="false" customHeight="true" outlineLevel="0" collapsed="false">
      <c r="M35" s="6"/>
      <c r="N35" s="42" t="s">
        <v>29</v>
      </c>
      <c r="O35" s="42"/>
      <c r="P35" s="42"/>
      <c r="Q35" s="42"/>
      <c r="R35" s="42"/>
      <c r="S35" s="42"/>
      <c r="T35" s="42"/>
      <c r="W35" s="43" t="s">
        <v>30</v>
      </c>
      <c r="X35" s="43"/>
      <c r="Y35" s="43"/>
      <c r="Z35" s="43"/>
      <c r="AA35" s="43"/>
      <c r="AB35" s="43"/>
      <c r="AC35" s="43"/>
      <c r="AD35" s="19"/>
    </row>
    <row r="36" customFormat="false" ht="12" hidden="false" customHeight="true" outlineLevel="0" collapsed="false">
      <c r="M36" s="6"/>
      <c r="N36" s="44"/>
      <c r="O36" s="44"/>
      <c r="P36" s="44"/>
      <c r="Q36" s="44"/>
      <c r="R36" s="44"/>
      <c r="W36" s="44"/>
      <c r="X36" s="44"/>
      <c r="Y36" s="44"/>
      <c r="Z36" s="44"/>
      <c r="AA36" s="44"/>
      <c r="AD36" s="19"/>
    </row>
    <row r="37" customFormat="false" ht="24" hidden="false" customHeight="true" outlineLevel="0" collapsed="false">
      <c r="M37" s="6"/>
      <c r="N37" s="33" t="s">
        <v>31</v>
      </c>
      <c r="O37" s="33"/>
      <c r="P37" s="33"/>
      <c r="R37" s="13" t="s">
        <v>32</v>
      </c>
      <c r="S37" s="45" t="n">
        <f aca="false">SLOPE(N$20:N$29,L$20:L$29)*1000</f>
        <v>545.61988481358</v>
      </c>
      <c r="T37" s="45"/>
      <c r="U37" s="45"/>
      <c r="V37" s="46" t="s">
        <v>33</v>
      </c>
      <c r="W37" s="33"/>
      <c r="X37" s="33"/>
      <c r="Y37" s="33"/>
      <c r="AD37" s="19"/>
    </row>
    <row r="38" customFormat="false" ht="9" hidden="false" customHeight="true" outlineLevel="0" collapsed="false">
      <c r="M38" s="6"/>
      <c r="N38" s="47"/>
      <c r="O38" s="47"/>
      <c r="P38" s="47"/>
      <c r="R38" s="48"/>
      <c r="S38" s="28"/>
      <c r="T38" s="28"/>
      <c r="U38" s="28"/>
      <c r="V38" s="49"/>
      <c r="W38" s="47"/>
      <c r="X38" s="47"/>
      <c r="Y38" s="47"/>
      <c r="AD38" s="19"/>
    </row>
    <row r="39" customFormat="false" ht="21" hidden="false" customHeight="true" outlineLevel="0" collapsed="false">
      <c r="M39" s="6"/>
      <c r="N39" s="42" t="s">
        <v>34</v>
      </c>
      <c r="O39" s="42" t="s">
        <v>35</v>
      </c>
      <c r="P39" s="42" t="s">
        <v>36</v>
      </c>
      <c r="Q39" s="42" t="s">
        <v>35</v>
      </c>
      <c r="R39" s="42" t="str">
        <f aca="false">"(" &amp; $J$10 &amp; ") + (" &amp; $J$11 &amp; ")"</f>
        <v>(322 Ω) + (218 Ω)</v>
      </c>
      <c r="S39" s="42" t="s">
        <v>35</v>
      </c>
      <c r="T39" s="50" t="n">
        <f aca="false">322 + 218</f>
        <v>540</v>
      </c>
      <c r="U39" s="51"/>
      <c r="W39" s="42" t="s">
        <v>37</v>
      </c>
      <c r="X39" s="42" t="s">
        <v>35</v>
      </c>
      <c r="Y39" s="10" t="s">
        <v>38</v>
      </c>
      <c r="Z39" s="42" t="s">
        <v>35</v>
      </c>
      <c r="AA39" s="52" t="str">
        <f aca="false">"("&amp;TEXT(S37, "0") &amp;" Ω) - (" &amp; TEXT(T39, "0") &amp; " Ω)"</f>
        <v>(546 Ω) - (540 Ω)</v>
      </c>
      <c r="AB39" s="42" t="s">
        <v>35</v>
      </c>
      <c r="AC39" s="53" t="n">
        <f aca="false">(S37-T39)/T39</f>
        <v>0.0104071940992219</v>
      </c>
      <c r="AD39" s="19"/>
    </row>
    <row r="40" customFormat="false" ht="21" hidden="false" customHeight="true" outlineLevel="0" collapsed="false">
      <c r="M40" s="6"/>
      <c r="N40" s="42"/>
      <c r="O40" s="42"/>
      <c r="P40" s="42"/>
      <c r="Q40" s="42"/>
      <c r="R40" s="42"/>
      <c r="S40" s="42"/>
      <c r="T40" s="50"/>
      <c r="U40" s="51"/>
      <c r="W40" s="42"/>
      <c r="X40" s="42"/>
      <c r="Y40" s="54" t="s">
        <v>39</v>
      </c>
      <c r="Z40" s="42"/>
      <c r="AA40" s="55" t="str">
        <f aca="false">"("&amp; T39 &amp; " Ω)"</f>
        <v>(540 Ω)</v>
      </c>
      <c r="AB40" s="42"/>
      <c r="AC40" s="53"/>
      <c r="AD40" s="19"/>
    </row>
    <row r="41" customFormat="false" ht="21" hidden="false" customHeight="true" outlineLevel="0" collapsed="false">
      <c r="M41" s="6"/>
      <c r="N41" s="28"/>
      <c r="O41" s="28"/>
      <c r="P41" s="28"/>
      <c r="Q41" s="28"/>
      <c r="R41" s="28"/>
      <c r="S41" s="28"/>
      <c r="T41" s="56"/>
      <c r="U41" s="57"/>
      <c r="W41" s="28"/>
      <c r="X41" s="28"/>
      <c r="Y41" s="54"/>
      <c r="Z41" s="28"/>
      <c r="AA41" s="28"/>
      <c r="AB41" s="28"/>
      <c r="AC41" s="53"/>
      <c r="AD41" s="19"/>
    </row>
    <row r="42" customFormat="false" ht="21" hidden="false" customHeight="true" outlineLevel="0" collapsed="false">
      <c r="M42" s="6"/>
      <c r="N42" s="33" t="s">
        <v>40</v>
      </c>
      <c r="O42" s="33"/>
      <c r="P42" s="33"/>
      <c r="R42" s="13" t="s">
        <v>32</v>
      </c>
      <c r="S42" s="45" t="n">
        <f aca="false">SLOPE(J$20:J$29,H$20:H$29)*1000</f>
        <v>795.134923858646</v>
      </c>
      <c r="T42" s="45"/>
      <c r="U42" s="45"/>
      <c r="V42" s="46" t="s">
        <v>33</v>
      </c>
      <c r="W42" s="33"/>
      <c r="X42" s="33"/>
      <c r="Y42" s="33"/>
      <c r="AC42" s="53"/>
      <c r="AD42" s="19"/>
    </row>
    <row r="43" customFormat="false" ht="9" hidden="false" customHeight="true" outlineLevel="0" collapsed="false">
      <c r="M43" s="6"/>
      <c r="N43" s="47"/>
      <c r="O43" s="47"/>
      <c r="P43" s="47"/>
      <c r="R43" s="48"/>
      <c r="S43" s="28"/>
      <c r="T43" s="28"/>
      <c r="U43" s="28"/>
      <c r="V43" s="49"/>
      <c r="W43" s="47"/>
      <c r="X43" s="47"/>
      <c r="Y43" s="47"/>
      <c r="AC43" s="53"/>
      <c r="AD43" s="19"/>
    </row>
    <row r="44" customFormat="false" ht="21" hidden="false" customHeight="true" outlineLevel="0" collapsed="false">
      <c r="M44" s="6"/>
      <c r="N44" s="42" t="s">
        <v>34</v>
      </c>
      <c r="O44" s="42" t="s">
        <v>35</v>
      </c>
      <c r="P44" s="42" t="s">
        <v>41</v>
      </c>
      <c r="Q44" s="42" t="s">
        <v>35</v>
      </c>
      <c r="R44" s="42" t="str">
        <f aca="false">"(" &amp; $J$10 &amp; ") + (" &amp; $J$12 &amp; ")"</f>
        <v>(322 Ω) + (461 Ω)</v>
      </c>
      <c r="S44" s="42" t="s">
        <v>35</v>
      </c>
      <c r="T44" s="50" t="n">
        <f aca="false">322 + 461</f>
        <v>783</v>
      </c>
      <c r="U44" s="51"/>
      <c r="W44" s="42" t="s">
        <v>37</v>
      </c>
      <c r="X44" s="42" t="s">
        <v>35</v>
      </c>
      <c r="Y44" s="10" t="s">
        <v>38</v>
      </c>
      <c r="Z44" s="42" t="s">
        <v>35</v>
      </c>
      <c r="AA44" s="52" t="str">
        <f aca="false">"("&amp;TEXT(S42, "0") &amp;" Ω) - (" &amp; TEXT(T44, "0") &amp; " Ω)"</f>
        <v>(795 Ω) - (783 Ω)</v>
      </c>
      <c r="AB44" s="42" t="s">
        <v>35</v>
      </c>
      <c r="AC44" s="53" t="n">
        <f aca="false">(S42-T44)/T44</f>
        <v>0.0154979870480794</v>
      </c>
      <c r="AD44" s="19"/>
    </row>
    <row r="45" customFormat="false" ht="21" hidden="false" customHeight="true" outlineLevel="0" collapsed="false">
      <c r="M45" s="6"/>
      <c r="N45" s="42"/>
      <c r="O45" s="42"/>
      <c r="P45" s="42"/>
      <c r="Q45" s="42"/>
      <c r="R45" s="42"/>
      <c r="S45" s="42"/>
      <c r="T45" s="50"/>
      <c r="U45" s="51"/>
      <c r="W45" s="42"/>
      <c r="X45" s="42"/>
      <c r="Y45" s="54" t="s">
        <v>39</v>
      </c>
      <c r="Z45" s="42"/>
      <c r="AA45" s="55" t="str">
        <f aca="false">"("&amp; T44 &amp; " Ω)"</f>
        <v>(783 Ω)</v>
      </c>
      <c r="AB45" s="42"/>
      <c r="AC45" s="53"/>
      <c r="AD45" s="19"/>
    </row>
    <row r="46" customFormat="false" ht="21" hidden="false" customHeight="true" outlineLevel="0" collapsed="false">
      <c r="M46" s="6"/>
      <c r="N46" s="28"/>
      <c r="O46" s="28"/>
      <c r="P46" s="28"/>
      <c r="Q46" s="28"/>
      <c r="R46" s="28"/>
      <c r="S46" s="28"/>
      <c r="T46" s="56"/>
      <c r="U46" s="57"/>
      <c r="W46" s="28"/>
      <c r="X46" s="28"/>
      <c r="Y46" s="54"/>
      <c r="Z46" s="28"/>
      <c r="AA46" s="28"/>
      <c r="AB46" s="28"/>
      <c r="AC46" s="53"/>
      <c r="AD46" s="19"/>
    </row>
    <row r="47" customFormat="false" ht="21" hidden="false" customHeight="true" outlineLevel="0" collapsed="false">
      <c r="M47" s="6"/>
      <c r="N47" s="33" t="s">
        <v>42</v>
      </c>
      <c r="O47" s="33"/>
      <c r="P47" s="33"/>
      <c r="R47" s="13" t="s">
        <v>32</v>
      </c>
      <c r="S47" s="45" t="n">
        <f aca="false">SLOPE(F$20:F$29,D$20:D$29)*1000</f>
        <v>683.48093954563</v>
      </c>
      <c r="T47" s="45"/>
      <c r="U47" s="45"/>
      <c r="V47" s="46" t="s">
        <v>33</v>
      </c>
      <c r="W47" s="33"/>
      <c r="X47" s="33"/>
      <c r="Y47" s="33"/>
      <c r="AC47" s="53"/>
      <c r="AD47" s="19"/>
    </row>
    <row r="48" customFormat="false" ht="9" hidden="false" customHeight="true" outlineLevel="0" collapsed="false">
      <c r="M48" s="6"/>
      <c r="N48" s="47"/>
      <c r="O48" s="47"/>
      <c r="P48" s="47"/>
      <c r="R48" s="48"/>
      <c r="S48" s="28"/>
      <c r="T48" s="28"/>
      <c r="U48" s="28"/>
      <c r="V48" s="49"/>
      <c r="W48" s="47"/>
      <c r="X48" s="47"/>
      <c r="Y48" s="47"/>
      <c r="AC48" s="53"/>
      <c r="AD48" s="19"/>
    </row>
    <row r="49" customFormat="false" ht="21" hidden="false" customHeight="true" outlineLevel="0" collapsed="false">
      <c r="M49" s="6"/>
      <c r="N49" s="42" t="s">
        <v>34</v>
      </c>
      <c r="O49" s="42" t="s">
        <v>35</v>
      </c>
      <c r="P49" s="42" t="s">
        <v>43</v>
      </c>
      <c r="Q49" s="42" t="s">
        <v>35</v>
      </c>
      <c r="R49" s="42" t="str">
        <f aca="false">"(" &amp; $J$11 &amp; ") + (" &amp; $J$12 &amp; ")"</f>
        <v>(218 Ω) + (461 Ω)</v>
      </c>
      <c r="S49" s="42" t="s">
        <v>35</v>
      </c>
      <c r="T49" s="50" t="n">
        <f aca="false">461 + 218</f>
        <v>679</v>
      </c>
      <c r="U49" s="51"/>
      <c r="W49" s="42" t="s">
        <v>37</v>
      </c>
      <c r="X49" s="42" t="s">
        <v>35</v>
      </c>
      <c r="Y49" s="10" t="s">
        <v>38</v>
      </c>
      <c r="Z49" s="42" t="s">
        <v>35</v>
      </c>
      <c r="AA49" s="52" t="str">
        <f aca="false">"("&amp;TEXT(S47, "0") &amp;" Ω) - (" &amp; TEXT(T49, "0") &amp; " Ω)"</f>
        <v>(683 Ω) - (679 Ω)</v>
      </c>
      <c r="AB49" s="42" t="s">
        <v>35</v>
      </c>
      <c r="AC49" s="53" t="n">
        <f aca="false">(S47-T49)/T49</f>
        <v>0.00659932186396105</v>
      </c>
      <c r="AD49" s="19"/>
    </row>
    <row r="50" customFormat="false" ht="21" hidden="false" customHeight="true" outlineLevel="0" collapsed="false">
      <c r="M50" s="6"/>
      <c r="N50" s="42"/>
      <c r="O50" s="42"/>
      <c r="P50" s="42"/>
      <c r="Q50" s="42"/>
      <c r="R50" s="42"/>
      <c r="S50" s="42"/>
      <c r="T50" s="50"/>
      <c r="U50" s="51"/>
      <c r="W50" s="42"/>
      <c r="X50" s="42"/>
      <c r="Y50" s="54" t="s">
        <v>39</v>
      </c>
      <c r="Z50" s="42"/>
      <c r="AA50" s="55" t="str">
        <f aca="false">"("&amp; T49 &amp; " Ω)"</f>
        <v>(679 Ω)</v>
      </c>
      <c r="AB50" s="42"/>
      <c r="AC50" s="53"/>
      <c r="AD50" s="19"/>
    </row>
    <row r="51" customFormat="false" ht="21" hidden="false" customHeight="true" outlineLevel="0" collapsed="false">
      <c r="M51" s="6"/>
      <c r="N51" s="28"/>
      <c r="O51" s="28"/>
      <c r="P51" s="28"/>
      <c r="Q51" s="28"/>
      <c r="R51" s="28"/>
      <c r="S51" s="28"/>
      <c r="T51" s="56"/>
      <c r="U51" s="57"/>
      <c r="W51" s="28"/>
      <c r="X51" s="28"/>
      <c r="Y51" s="54"/>
      <c r="Z51" s="28"/>
      <c r="AA51" s="28"/>
      <c r="AB51" s="28"/>
      <c r="AC51" s="53"/>
      <c r="AD51" s="19"/>
    </row>
    <row r="52" customFormat="false" ht="12" hidden="false" customHeight="true" outlineLevel="0" collapsed="false">
      <c r="M52" s="9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  <c r="AC52" s="35"/>
      <c r="AD52" s="36"/>
    </row>
  </sheetData>
  <mergeCells count="67">
    <mergeCell ref="E2:L2"/>
    <mergeCell ref="E3:L3"/>
    <mergeCell ref="E4:H4"/>
    <mergeCell ref="K4:L4"/>
    <mergeCell ref="D7:J7"/>
    <mergeCell ref="F9:H9"/>
    <mergeCell ref="F10:H10"/>
    <mergeCell ref="F11:H11"/>
    <mergeCell ref="F12:H12"/>
    <mergeCell ref="D16:N16"/>
    <mergeCell ref="D17:F17"/>
    <mergeCell ref="H17:J17"/>
    <mergeCell ref="L17:N17"/>
    <mergeCell ref="D18:F18"/>
    <mergeCell ref="H18:J18"/>
    <mergeCell ref="L18:N18"/>
    <mergeCell ref="N34:P34"/>
    <mergeCell ref="N35:T35"/>
    <mergeCell ref="W35:AC35"/>
    <mergeCell ref="N37:P37"/>
    <mergeCell ref="S37:U37"/>
    <mergeCell ref="W37:Y37"/>
    <mergeCell ref="N39:N40"/>
    <mergeCell ref="O39:O40"/>
    <mergeCell ref="P39:P40"/>
    <mergeCell ref="Q39:Q40"/>
    <mergeCell ref="R39:R40"/>
    <mergeCell ref="S39:S40"/>
    <mergeCell ref="T39:T40"/>
    <mergeCell ref="U39:U40"/>
    <mergeCell ref="W39:W40"/>
    <mergeCell ref="X39:X40"/>
    <mergeCell ref="Z39:Z40"/>
    <mergeCell ref="AB39:AB40"/>
    <mergeCell ref="AC39:AC40"/>
    <mergeCell ref="N42:P42"/>
    <mergeCell ref="S42:U42"/>
    <mergeCell ref="W42:Y42"/>
    <mergeCell ref="N44:N45"/>
    <mergeCell ref="O44:O45"/>
    <mergeCell ref="P44:P45"/>
    <mergeCell ref="Q44:Q45"/>
    <mergeCell ref="R44:R45"/>
    <mergeCell ref="S44:S45"/>
    <mergeCell ref="T44:T45"/>
    <mergeCell ref="U44:U45"/>
    <mergeCell ref="W44:W45"/>
    <mergeCell ref="X44:X45"/>
    <mergeCell ref="Z44:Z45"/>
    <mergeCell ref="AB44:AB45"/>
    <mergeCell ref="AC44:AC45"/>
    <mergeCell ref="N47:P47"/>
    <mergeCell ref="S47:U47"/>
    <mergeCell ref="W47:Y47"/>
    <mergeCell ref="N49:N50"/>
    <mergeCell ref="O49:O50"/>
    <mergeCell ref="P49:P50"/>
    <mergeCell ref="Q49:Q50"/>
    <mergeCell ref="R49:R50"/>
    <mergeCell ref="S49:S50"/>
    <mergeCell ref="T49:T50"/>
    <mergeCell ref="U49:U50"/>
    <mergeCell ref="W49:W50"/>
    <mergeCell ref="X49:X50"/>
    <mergeCell ref="Z49:Z50"/>
    <mergeCell ref="AB49:AB50"/>
    <mergeCell ref="AC49:AC5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C1:AD52"/>
  <sheetViews>
    <sheetView showFormulas="false" showGridLines="true" showRowColHeaders="true" showZeros="true" rightToLeft="false" tabSelected="true" showOutlineSymbols="true" defaultGridColor="true" view="normal" topLeftCell="J23" colorId="64" zoomScale="100" zoomScaleNormal="100" zoomScalePageLayoutView="100" workbookViewId="0">
      <selection pane="topLeft" activeCell="T39" activeCellId="0" sqref="T39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4.86"/>
    <col collapsed="false" customWidth="true" hidden="false" outlineLevel="0" max="3" min="2" style="1" width="2.71"/>
    <col collapsed="false" customWidth="true" hidden="false" outlineLevel="0" max="4" min="4" style="1" width="11"/>
    <col collapsed="false" customWidth="true" hidden="false" outlineLevel="0" max="5" min="5" style="1" width="2.71"/>
    <col collapsed="false" customWidth="true" hidden="false" outlineLevel="0" max="6" min="6" style="1" width="11"/>
    <col collapsed="false" customWidth="true" hidden="false" outlineLevel="0" max="7" min="7" style="1" width="2.71"/>
    <col collapsed="false" customWidth="true" hidden="false" outlineLevel="0" max="8" min="8" style="1" width="11"/>
    <col collapsed="false" customWidth="true" hidden="false" outlineLevel="0" max="9" min="9" style="1" width="2.71"/>
    <col collapsed="false" customWidth="true" hidden="false" outlineLevel="0" max="10" min="10" style="1" width="11"/>
    <col collapsed="false" customWidth="true" hidden="false" outlineLevel="0" max="11" min="11" style="1" width="2.71"/>
    <col collapsed="false" customWidth="true" hidden="false" outlineLevel="0" max="12" min="12" style="1" width="11"/>
    <col collapsed="false" customWidth="true" hidden="false" outlineLevel="0" max="13" min="13" style="1" width="2.29"/>
    <col collapsed="false" customWidth="true" hidden="false" outlineLevel="0" max="14" min="14" style="1" width="11"/>
    <col collapsed="false" customWidth="true" hidden="false" outlineLevel="0" max="15" min="15" style="1" width="3.57"/>
    <col collapsed="false" customWidth="true" hidden="false" outlineLevel="0" max="16" min="16" style="1" width="10.14"/>
    <col collapsed="false" customWidth="true" hidden="false" outlineLevel="0" max="17" min="17" style="1" width="3.57"/>
    <col collapsed="false" customWidth="true" hidden="false" outlineLevel="0" max="18" min="18" style="1" width="18.29"/>
    <col collapsed="false" customWidth="true" hidden="false" outlineLevel="0" max="19" min="19" style="1" width="3.57"/>
    <col collapsed="false" customWidth="true" hidden="false" outlineLevel="0" max="20" min="20" style="1" width="7.16"/>
    <col collapsed="false" customWidth="true" hidden="false" outlineLevel="0" max="21" min="21" style="1" width="4"/>
    <col collapsed="false" customWidth="true" hidden="false" outlineLevel="0" max="22" min="22" style="1" width="3.57"/>
    <col collapsed="false" customWidth="true" hidden="false" outlineLevel="0" max="24" min="24" style="1" width="3.57"/>
    <col collapsed="false" customWidth="true" hidden="false" outlineLevel="0" max="25" min="25" style="1" width="12.86"/>
    <col collapsed="false" customWidth="true" hidden="false" outlineLevel="0" max="26" min="26" style="1" width="3.57"/>
    <col collapsed="false" customWidth="true" hidden="false" outlineLevel="0" max="27" min="27" style="1" width="16"/>
    <col collapsed="false" customWidth="true" hidden="false" outlineLevel="0" max="28" min="28" style="1" width="3.57"/>
    <col collapsed="false" customWidth="true" hidden="false" outlineLevel="0" max="30" min="30" style="1" width="2.29"/>
  </cols>
  <sheetData>
    <row r="1" customFormat="false" ht="15" hidden="false" customHeight="false" outlineLevel="0" collapsed="false"/>
    <row r="2" customFormat="false" ht="27.75" hidden="false" customHeight="true" outlineLevel="0" collapsed="false">
      <c r="C2" s="2"/>
      <c r="D2" s="3" t="s">
        <v>0</v>
      </c>
      <c r="E2" s="4" t="s">
        <v>1</v>
      </c>
      <c r="F2" s="4"/>
      <c r="G2" s="4"/>
      <c r="H2" s="4"/>
      <c r="I2" s="4"/>
      <c r="J2" s="4"/>
      <c r="K2" s="4"/>
      <c r="L2" s="4"/>
      <c r="M2" s="5"/>
      <c r="N2" s="5"/>
    </row>
    <row r="3" customFormat="false" ht="27.75" hidden="false" customHeight="true" outlineLevel="0" collapsed="false">
      <c r="C3" s="6"/>
      <c r="D3" s="7" t="s">
        <v>2</v>
      </c>
      <c r="E3" s="8" t="s">
        <v>3</v>
      </c>
      <c r="F3" s="8"/>
      <c r="G3" s="8"/>
      <c r="H3" s="8"/>
      <c r="I3" s="8"/>
      <c r="J3" s="8"/>
      <c r="K3" s="8"/>
      <c r="L3" s="8"/>
      <c r="M3" s="5"/>
      <c r="N3" s="5"/>
    </row>
    <row r="4" customFormat="false" ht="27.75" hidden="false" customHeight="true" outlineLevel="0" collapsed="false">
      <c r="C4" s="9"/>
      <c r="D4" s="10" t="s">
        <v>4</v>
      </c>
      <c r="E4" s="11" t="s">
        <v>5</v>
      </c>
      <c r="F4" s="11"/>
      <c r="G4" s="11"/>
      <c r="H4" s="11"/>
      <c r="I4" s="12"/>
      <c r="J4" s="13" t="s">
        <v>6</v>
      </c>
      <c r="K4" s="14" t="s">
        <v>7</v>
      </c>
      <c r="L4" s="14"/>
      <c r="M4" s="5"/>
      <c r="N4" s="5"/>
    </row>
    <row r="5" customFormat="false" ht="16.5" hidden="false" customHeight="true" outlineLevel="0" collapsed="false"/>
    <row r="6" customFormat="false" ht="10.5" hidden="false" customHeight="true" outlineLevel="0" collapsed="false">
      <c r="C6" s="2"/>
      <c r="D6" s="15"/>
      <c r="E6" s="15"/>
      <c r="F6" s="15"/>
      <c r="G6" s="15"/>
      <c r="H6" s="15"/>
      <c r="I6" s="15"/>
      <c r="J6" s="15"/>
      <c r="K6" s="16"/>
      <c r="N6" s="17"/>
      <c r="O6" s="17"/>
      <c r="P6" s="17"/>
      <c r="Q6" s="17"/>
    </row>
    <row r="7" customFormat="false" ht="21.75" hidden="false" customHeight="true" outlineLevel="0" collapsed="false">
      <c r="C7" s="6"/>
      <c r="D7" s="18" t="s">
        <v>8</v>
      </c>
      <c r="E7" s="18"/>
      <c r="F7" s="18"/>
      <c r="G7" s="18"/>
      <c r="H7" s="18"/>
      <c r="I7" s="18"/>
      <c r="J7" s="18"/>
      <c r="K7" s="19"/>
      <c r="L7" s="20"/>
      <c r="M7" s="21"/>
      <c r="N7" s="21"/>
      <c r="O7" s="21"/>
      <c r="P7" s="22"/>
      <c r="Q7" s="22"/>
    </row>
    <row r="8" customFormat="false" ht="9.75" hidden="false" customHeight="true" outlineLevel="0" collapsed="false">
      <c r="C8" s="23"/>
      <c r="D8" s="24"/>
      <c r="E8" s="24"/>
      <c r="F8" s="24"/>
      <c r="G8" s="24"/>
      <c r="K8" s="19"/>
      <c r="L8" s="20"/>
      <c r="M8" s="21"/>
      <c r="N8" s="21"/>
      <c r="O8" s="21"/>
      <c r="P8" s="22"/>
      <c r="Q8" s="22"/>
      <c r="R8" s="25"/>
      <c r="S8" s="25"/>
      <c r="T8" s="25"/>
      <c r="U8" s="25"/>
      <c r="V8" s="25"/>
    </row>
    <row r="9" customFormat="false" ht="24" hidden="false" customHeight="true" outlineLevel="0" collapsed="false">
      <c r="C9" s="26"/>
      <c r="D9" s="27" t="s">
        <v>9</v>
      </c>
      <c r="E9" s="28"/>
      <c r="F9" s="27" t="s">
        <v>10</v>
      </c>
      <c r="G9" s="27"/>
      <c r="H9" s="27"/>
      <c r="J9" s="29" t="s">
        <v>11</v>
      </c>
      <c r="K9" s="19"/>
      <c r="L9" s="20"/>
      <c r="M9" s="21"/>
      <c r="N9" s="21"/>
      <c r="O9" s="21"/>
      <c r="P9" s="22"/>
      <c r="Q9" s="22"/>
      <c r="R9" s="24"/>
      <c r="S9" s="24"/>
    </row>
    <row r="10" customFormat="false" ht="24" hidden="false" customHeight="true" outlineLevel="0" collapsed="false">
      <c r="C10" s="30"/>
      <c r="D10" s="31" t="s">
        <v>12</v>
      </c>
      <c r="E10" s="32"/>
      <c r="F10" s="33" t="s">
        <v>13</v>
      </c>
      <c r="G10" s="33"/>
      <c r="H10" s="33"/>
      <c r="J10" s="28" t="s">
        <v>14</v>
      </c>
      <c r="K10" s="19"/>
      <c r="L10" s="20"/>
      <c r="M10" s="21"/>
      <c r="N10" s="21"/>
      <c r="O10" s="21"/>
      <c r="P10" s="22"/>
      <c r="Q10" s="22"/>
      <c r="R10" s="25"/>
      <c r="S10" s="25"/>
      <c r="T10" s="25"/>
      <c r="V10" s="28"/>
    </row>
    <row r="11" customFormat="false" ht="24" hidden="false" customHeight="true" outlineLevel="0" collapsed="false">
      <c r="C11" s="30"/>
      <c r="D11" s="31" t="s">
        <v>15</v>
      </c>
      <c r="E11" s="32"/>
      <c r="F11" s="33" t="s">
        <v>16</v>
      </c>
      <c r="G11" s="33"/>
      <c r="H11" s="33"/>
      <c r="J11" s="28" t="s">
        <v>17</v>
      </c>
      <c r="K11" s="19"/>
      <c r="L11" s="20"/>
      <c r="M11" s="21"/>
      <c r="N11" s="21"/>
      <c r="O11" s="21"/>
      <c r="P11" s="22"/>
      <c r="Q11" s="22"/>
      <c r="R11" s="34"/>
      <c r="S11" s="34"/>
      <c r="T11" s="34"/>
    </row>
    <row r="12" customFormat="false" ht="24" hidden="false" customHeight="true" outlineLevel="0" collapsed="false">
      <c r="C12" s="30"/>
      <c r="D12" s="31" t="s">
        <v>18</v>
      </c>
      <c r="E12" s="32"/>
      <c r="F12" s="33" t="s">
        <v>19</v>
      </c>
      <c r="G12" s="33"/>
      <c r="H12" s="33"/>
      <c r="J12" s="28" t="s">
        <v>20</v>
      </c>
      <c r="K12" s="19"/>
      <c r="L12" s="20"/>
      <c r="M12" s="21"/>
      <c r="N12" s="21"/>
      <c r="O12" s="21"/>
      <c r="P12" s="22"/>
      <c r="Q12" s="22"/>
      <c r="R12" s="34"/>
      <c r="S12" s="34"/>
      <c r="T12" s="34"/>
    </row>
    <row r="13" customFormat="false" ht="10.5" hidden="false" customHeight="true" outlineLevel="0" collapsed="false">
      <c r="C13" s="9"/>
      <c r="D13" s="35"/>
      <c r="E13" s="35"/>
      <c r="F13" s="35"/>
      <c r="G13" s="35"/>
      <c r="H13" s="35"/>
      <c r="I13" s="35"/>
      <c r="J13" s="35"/>
      <c r="K13" s="36"/>
      <c r="Q13" s="32"/>
      <c r="R13" s="34"/>
      <c r="S13" s="34"/>
      <c r="T13" s="34"/>
    </row>
    <row r="14" customFormat="false" ht="15" hidden="false" customHeight="false" outlineLevel="0" collapsed="false"/>
    <row r="15" customFormat="false" ht="14.25" hidden="false" customHeight="true" outlineLevel="0" collapsed="false">
      <c r="C15" s="2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6"/>
    </row>
    <row r="16" customFormat="false" ht="26.25" hidden="false" customHeight="true" outlineLevel="0" collapsed="false">
      <c r="C16" s="6"/>
      <c r="D16" s="18" t="s">
        <v>21</v>
      </c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9"/>
    </row>
    <row r="17" customFormat="false" ht="18" hidden="false" customHeight="true" outlineLevel="0" collapsed="false">
      <c r="C17" s="6"/>
      <c r="D17" s="37" t="s">
        <v>24</v>
      </c>
      <c r="E17" s="37"/>
      <c r="F17" s="37"/>
      <c r="G17" s="32"/>
      <c r="H17" s="37" t="s">
        <v>22</v>
      </c>
      <c r="I17" s="37"/>
      <c r="J17" s="37"/>
      <c r="K17" s="32"/>
      <c r="L17" s="37" t="s">
        <v>23</v>
      </c>
      <c r="M17" s="37"/>
      <c r="N17" s="37"/>
      <c r="O17" s="19"/>
    </row>
    <row r="18" customFormat="false" ht="8.25" hidden="false" customHeight="true" outlineLevel="0" collapsed="false">
      <c r="C18" s="6"/>
      <c r="D18" s="38" t="s">
        <v>25</v>
      </c>
      <c r="E18" s="38"/>
      <c r="F18" s="38"/>
      <c r="G18" s="32"/>
      <c r="H18" s="38" t="s">
        <v>25</v>
      </c>
      <c r="I18" s="38"/>
      <c r="J18" s="38"/>
      <c r="K18" s="32"/>
      <c r="L18" s="38" t="s">
        <v>25</v>
      </c>
      <c r="M18" s="38"/>
      <c r="N18" s="38"/>
      <c r="O18" s="19"/>
    </row>
    <row r="19" customFormat="false" ht="30.75" hidden="false" customHeight="true" outlineLevel="0" collapsed="false">
      <c r="C19" s="6"/>
      <c r="D19" s="39" t="s">
        <v>26</v>
      </c>
      <c r="F19" s="39" t="s">
        <v>27</v>
      </c>
      <c r="G19" s="28"/>
      <c r="H19" s="39" t="s">
        <v>26</v>
      </c>
      <c r="J19" s="39" t="s">
        <v>27</v>
      </c>
      <c r="L19" s="39" t="s">
        <v>26</v>
      </c>
      <c r="N19" s="39" t="s">
        <v>27</v>
      </c>
      <c r="O19" s="19"/>
    </row>
    <row r="20" customFormat="false" ht="26.25" hidden="false" customHeight="true" outlineLevel="0" collapsed="false">
      <c r="C20" s="6"/>
      <c r="D20" s="58" t="n">
        <v>5.2</v>
      </c>
      <c r="F20" s="40" t="n">
        <v>1</v>
      </c>
      <c r="H20" s="40" t="n">
        <v>6.7</v>
      </c>
      <c r="J20" s="40" t="n">
        <v>1</v>
      </c>
      <c r="L20" s="1" t="n">
        <v>7.6</v>
      </c>
      <c r="N20" s="40" t="n">
        <v>1</v>
      </c>
      <c r="O20" s="19"/>
    </row>
    <row r="21" customFormat="false" ht="26.25" hidden="false" customHeight="true" outlineLevel="0" collapsed="false">
      <c r="C21" s="6"/>
      <c r="D21" s="58" t="n">
        <v>10.4</v>
      </c>
      <c r="F21" s="40" t="n">
        <v>2</v>
      </c>
      <c r="H21" s="40" t="n">
        <v>13.2</v>
      </c>
      <c r="J21" s="40" t="n">
        <v>2</v>
      </c>
      <c r="L21" s="1" t="n">
        <v>15.2</v>
      </c>
      <c r="N21" s="40" t="n">
        <v>2</v>
      </c>
      <c r="O21" s="19"/>
    </row>
    <row r="22" customFormat="false" ht="26.25" hidden="false" customHeight="true" outlineLevel="0" collapsed="false">
      <c r="C22" s="6"/>
      <c r="D22" s="58" t="n">
        <v>15.5</v>
      </c>
      <c r="F22" s="40" t="n">
        <v>3</v>
      </c>
      <c r="H22" s="40" t="n">
        <v>19.9</v>
      </c>
      <c r="J22" s="40" t="n">
        <v>3</v>
      </c>
      <c r="L22" s="1" t="n">
        <v>22.8</v>
      </c>
      <c r="N22" s="40" t="n">
        <v>3</v>
      </c>
      <c r="O22" s="19"/>
    </row>
    <row r="23" customFormat="false" ht="26.25" hidden="false" customHeight="true" outlineLevel="0" collapsed="false">
      <c r="C23" s="6"/>
      <c r="D23" s="58" t="n">
        <v>20.7</v>
      </c>
      <c r="F23" s="40" t="n">
        <v>4</v>
      </c>
      <c r="H23" s="40" t="n">
        <v>26.6</v>
      </c>
      <c r="J23" s="40" t="n">
        <v>4</v>
      </c>
      <c r="L23" s="1" t="n">
        <v>30.5</v>
      </c>
      <c r="N23" s="40" t="n">
        <v>4</v>
      </c>
      <c r="O23" s="19"/>
    </row>
    <row r="24" customFormat="false" ht="26.25" hidden="false" customHeight="true" outlineLevel="0" collapsed="false">
      <c r="C24" s="6"/>
      <c r="D24" s="58" t="n">
        <v>25.9</v>
      </c>
      <c r="F24" s="40" t="n">
        <v>5</v>
      </c>
      <c r="H24" s="40" t="n">
        <v>33.2</v>
      </c>
      <c r="J24" s="40" t="n">
        <v>5</v>
      </c>
      <c r="L24" s="1" t="n">
        <v>38.1</v>
      </c>
      <c r="N24" s="40" t="n">
        <v>5</v>
      </c>
      <c r="O24" s="19"/>
    </row>
    <row r="25" customFormat="false" ht="26.25" hidden="false" customHeight="true" outlineLevel="0" collapsed="false">
      <c r="C25" s="6"/>
      <c r="D25" s="58" t="n">
        <v>31.1</v>
      </c>
      <c r="F25" s="40" t="n">
        <v>6</v>
      </c>
      <c r="H25" s="40" t="n">
        <v>40</v>
      </c>
      <c r="J25" s="40" t="n">
        <v>6</v>
      </c>
      <c r="L25" s="1" t="n">
        <v>45.8</v>
      </c>
      <c r="N25" s="40" t="n">
        <v>6</v>
      </c>
      <c r="O25" s="19"/>
    </row>
    <row r="26" customFormat="false" ht="26.25" hidden="false" customHeight="true" outlineLevel="0" collapsed="false">
      <c r="C26" s="6"/>
      <c r="D26" s="58" t="n">
        <v>36.4</v>
      </c>
      <c r="F26" s="40" t="n">
        <v>7</v>
      </c>
      <c r="H26" s="40" t="n">
        <v>46.6</v>
      </c>
      <c r="J26" s="40" t="n">
        <v>7</v>
      </c>
      <c r="L26" s="1" t="n">
        <v>53.6</v>
      </c>
      <c r="N26" s="40" t="n">
        <v>7</v>
      </c>
      <c r="O26" s="19"/>
    </row>
    <row r="27" customFormat="false" ht="26.25" hidden="false" customHeight="true" outlineLevel="0" collapsed="false">
      <c r="C27" s="6"/>
      <c r="D27" s="58" t="n">
        <v>41.6</v>
      </c>
      <c r="F27" s="40" t="n">
        <v>8</v>
      </c>
      <c r="H27" s="40" t="n">
        <v>53.4</v>
      </c>
      <c r="J27" s="40" t="n">
        <v>8</v>
      </c>
      <c r="L27" s="1" t="n">
        <v>61.3</v>
      </c>
      <c r="N27" s="40" t="n">
        <v>8</v>
      </c>
      <c r="O27" s="19"/>
    </row>
    <row r="28" customFormat="false" ht="26.25" hidden="false" customHeight="true" outlineLevel="0" collapsed="false">
      <c r="C28" s="6"/>
      <c r="D28" s="58" t="n">
        <v>47</v>
      </c>
      <c r="F28" s="40" t="n">
        <v>9</v>
      </c>
      <c r="H28" s="40" t="n">
        <v>60.2</v>
      </c>
      <c r="J28" s="40" t="n">
        <v>9</v>
      </c>
      <c r="L28" s="1" t="n">
        <v>69.2</v>
      </c>
      <c r="N28" s="40" t="n">
        <v>9</v>
      </c>
      <c r="O28" s="19"/>
    </row>
    <row r="29" customFormat="false" ht="26.25" hidden="false" customHeight="true" outlineLevel="0" collapsed="false">
      <c r="C29" s="6"/>
      <c r="D29" s="58" t="n">
        <v>52.2</v>
      </c>
      <c r="F29" s="40" t="n">
        <v>10</v>
      </c>
      <c r="H29" s="40" t="n">
        <v>67.2</v>
      </c>
      <c r="J29" s="40" t="n">
        <v>10</v>
      </c>
      <c r="L29" s="1" t="n">
        <v>77.1</v>
      </c>
      <c r="N29" s="40" t="n">
        <v>10</v>
      </c>
      <c r="O29" s="19"/>
    </row>
    <row r="30" customFormat="false" ht="14.25" hidden="false" customHeight="true" outlineLevel="0" collapsed="false">
      <c r="C30" s="6"/>
      <c r="O30" s="19"/>
    </row>
    <row r="31" customFormat="false" ht="15" hidden="false" customHeight="false" outlineLevel="0" collapsed="false">
      <c r="C31" s="9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6"/>
    </row>
    <row r="32" customFormat="false" ht="15" hidden="false" customHeight="false" outlineLevel="0" collapsed="false"/>
    <row r="33" customFormat="false" ht="12" hidden="false" customHeight="true" outlineLevel="0" collapsed="false">
      <c r="M33" s="2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6"/>
    </row>
    <row r="34" customFormat="false" ht="21.75" hidden="false" customHeight="true" outlineLevel="0" collapsed="false">
      <c r="M34" s="6"/>
      <c r="N34" s="41" t="s">
        <v>28</v>
      </c>
      <c r="O34" s="41"/>
      <c r="P34" s="41"/>
      <c r="AD34" s="19"/>
    </row>
    <row r="35" customFormat="false" ht="21.75" hidden="false" customHeight="true" outlineLevel="0" collapsed="false">
      <c r="M35" s="6"/>
      <c r="N35" s="42" t="s">
        <v>29</v>
      </c>
      <c r="O35" s="42"/>
      <c r="P35" s="42"/>
      <c r="Q35" s="42"/>
      <c r="R35" s="42"/>
      <c r="S35" s="42"/>
      <c r="T35" s="42"/>
      <c r="W35" s="43" t="s">
        <v>30</v>
      </c>
      <c r="X35" s="43"/>
      <c r="Y35" s="43"/>
      <c r="Z35" s="43"/>
      <c r="AA35" s="43"/>
      <c r="AB35" s="43"/>
      <c r="AC35" s="43"/>
      <c r="AD35" s="19"/>
    </row>
    <row r="36" customFormat="false" ht="12" hidden="false" customHeight="true" outlineLevel="0" collapsed="false">
      <c r="M36" s="6"/>
      <c r="N36" s="44"/>
      <c r="O36" s="44"/>
      <c r="P36" s="44"/>
      <c r="Q36" s="44"/>
      <c r="R36" s="44"/>
      <c r="W36" s="44"/>
      <c r="X36" s="44"/>
      <c r="Y36" s="44"/>
      <c r="Z36" s="44"/>
      <c r="AA36" s="44"/>
      <c r="AD36" s="19"/>
    </row>
    <row r="37" customFormat="false" ht="24" hidden="false" customHeight="true" outlineLevel="0" collapsed="false">
      <c r="M37" s="6"/>
      <c r="N37" s="33" t="s">
        <v>31</v>
      </c>
      <c r="O37" s="33"/>
      <c r="P37" s="33"/>
      <c r="R37" s="13" t="s">
        <v>32</v>
      </c>
      <c r="S37" s="45" t="n">
        <f aca="false">SLOPE(N$20:N$29,L$20:L$29)*1000</f>
        <v>129.609749422509</v>
      </c>
      <c r="T37" s="45"/>
      <c r="U37" s="45"/>
      <c r="V37" s="46" t="s">
        <v>33</v>
      </c>
      <c r="W37" s="33"/>
      <c r="X37" s="33"/>
      <c r="Y37" s="33"/>
      <c r="AD37" s="19"/>
    </row>
    <row r="38" customFormat="false" ht="9" hidden="false" customHeight="true" outlineLevel="0" collapsed="false">
      <c r="M38" s="6"/>
      <c r="N38" s="47"/>
      <c r="O38" s="47"/>
      <c r="P38" s="47"/>
      <c r="R38" s="48"/>
      <c r="S38" s="28"/>
      <c r="T38" s="28"/>
      <c r="U38" s="28"/>
      <c r="V38" s="49"/>
      <c r="W38" s="47"/>
      <c r="X38" s="47"/>
      <c r="Y38" s="47"/>
      <c r="AD38" s="19"/>
    </row>
    <row r="39" customFormat="false" ht="21" hidden="false" customHeight="true" outlineLevel="0" collapsed="false">
      <c r="M39" s="6"/>
      <c r="N39" s="42" t="s">
        <v>34</v>
      </c>
      <c r="O39" s="42" t="s">
        <v>35</v>
      </c>
      <c r="P39" s="42" t="s">
        <v>36</v>
      </c>
      <c r="Q39" s="42" t="s">
        <v>35</v>
      </c>
      <c r="R39" s="42" t="str">
        <f aca="false">"(" &amp; $J$10 &amp; ")(" &amp; $J$11 &amp; ")"</f>
        <v>(322 Ω)(218 Ω)</v>
      </c>
      <c r="S39" s="42" t="s">
        <v>35</v>
      </c>
      <c r="T39" s="50" t="n">
        <f aca="false">(322* 218)/(322 + 218)</f>
        <v>129.992592592593</v>
      </c>
      <c r="U39" s="51"/>
      <c r="W39" s="42" t="s">
        <v>37</v>
      </c>
      <c r="X39" s="42" t="s">
        <v>35</v>
      </c>
      <c r="Y39" s="10" t="s">
        <v>38</v>
      </c>
      <c r="Z39" s="42" t="s">
        <v>35</v>
      </c>
      <c r="AA39" s="52" t="str">
        <f aca="false">"("&amp;TEXT(S37, "0") &amp;" Ω) - (" &amp; TEXT(T39, "0") &amp; " Ω)"</f>
        <v>(130 Ω) - (130 Ω)</v>
      </c>
      <c r="AB39" s="42" t="s">
        <v>35</v>
      </c>
      <c r="AC39" s="53" t="n">
        <f aca="false">(S37-T39)/T39</f>
        <v>-0.00294511527502048</v>
      </c>
      <c r="AD39" s="19"/>
    </row>
    <row r="40" customFormat="false" ht="21" hidden="false" customHeight="true" outlineLevel="0" collapsed="false">
      <c r="M40" s="6"/>
      <c r="N40" s="42"/>
      <c r="O40" s="42"/>
      <c r="P40" s="42"/>
      <c r="Q40" s="42"/>
      <c r="R40" s="42" t="str">
        <f aca="false">"(" &amp; $J$10 &amp; ") + (" &amp; $J$11 &amp; ")"</f>
        <v>(322 Ω) + (218 Ω)</v>
      </c>
      <c r="S40" s="42"/>
      <c r="T40" s="50"/>
      <c r="U40" s="51"/>
      <c r="W40" s="42"/>
      <c r="X40" s="42"/>
      <c r="Y40" s="54" t="s">
        <v>39</v>
      </c>
      <c r="Z40" s="42"/>
      <c r="AA40" s="55" t="str">
        <f aca="false">"("&amp; TEXT(T39, "0") &amp; " Ω)"</f>
        <v>(130 Ω)</v>
      </c>
      <c r="AB40" s="42"/>
      <c r="AC40" s="53"/>
      <c r="AD40" s="19"/>
    </row>
    <row r="41" customFormat="false" ht="21" hidden="false" customHeight="true" outlineLevel="0" collapsed="false">
      <c r="M41" s="6"/>
      <c r="N41" s="28"/>
      <c r="O41" s="28"/>
      <c r="P41" s="28"/>
      <c r="Q41" s="28"/>
      <c r="R41" s="28"/>
      <c r="S41" s="28"/>
      <c r="T41" s="56"/>
      <c r="U41" s="57"/>
      <c r="W41" s="28"/>
      <c r="X41" s="28"/>
      <c r="Y41" s="54"/>
      <c r="Z41" s="28"/>
      <c r="AA41" s="28"/>
      <c r="AB41" s="28"/>
      <c r="AC41" s="53"/>
      <c r="AD41" s="19"/>
    </row>
    <row r="42" customFormat="false" ht="21" hidden="false" customHeight="true" outlineLevel="0" collapsed="false">
      <c r="M42" s="6"/>
      <c r="N42" s="33" t="s">
        <v>40</v>
      </c>
      <c r="O42" s="33"/>
      <c r="P42" s="33"/>
      <c r="R42" s="13" t="s">
        <v>32</v>
      </c>
      <c r="S42" s="45" t="n">
        <f aca="false">SLOPE(F$20:F$29,D$20:D$29)*1000</f>
        <v>191.409233830139</v>
      </c>
      <c r="T42" s="45"/>
      <c r="U42" s="45"/>
      <c r="V42" s="46" t="s">
        <v>33</v>
      </c>
      <c r="W42" s="33"/>
      <c r="X42" s="33"/>
      <c r="Y42" s="33"/>
      <c r="AC42" s="53"/>
      <c r="AD42" s="19"/>
    </row>
    <row r="43" customFormat="false" ht="9" hidden="false" customHeight="true" outlineLevel="0" collapsed="false">
      <c r="M43" s="6"/>
      <c r="N43" s="47"/>
      <c r="O43" s="47"/>
      <c r="P43" s="47"/>
      <c r="R43" s="48"/>
      <c r="S43" s="28"/>
      <c r="T43" s="28"/>
      <c r="U43" s="28"/>
      <c r="V43" s="49"/>
      <c r="W43" s="47"/>
      <c r="X43" s="47"/>
      <c r="Y43" s="47"/>
      <c r="AC43" s="53"/>
      <c r="AD43" s="19"/>
    </row>
    <row r="44" customFormat="false" ht="21" hidden="false" customHeight="true" outlineLevel="0" collapsed="false">
      <c r="M44" s="6"/>
      <c r="N44" s="42" t="s">
        <v>34</v>
      </c>
      <c r="O44" s="42" t="s">
        <v>35</v>
      </c>
      <c r="P44" s="42" t="s">
        <v>41</v>
      </c>
      <c r="Q44" s="42" t="s">
        <v>35</v>
      </c>
      <c r="R44" s="42" t="str">
        <f aca="false">"(" &amp; $J$10 &amp; ")(" &amp; $J$12 &amp; ")"</f>
        <v>(322 Ω)(461 Ω)</v>
      </c>
      <c r="S44" s="42" t="s">
        <v>35</v>
      </c>
      <c r="T44" s="50" t="n">
        <f aca="false">(322* 461)/(322 + 461)</f>
        <v>189.581098339719</v>
      </c>
      <c r="U44" s="51"/>
      <c r="W44" s="42" t="s">
        <v>37</v>
      </c>
      <c r="X44" s="42" t="s">
        <v>35</v>
      </c>
      <c r="Y44" s="10" t="s">
        <v>38</v>
      </c>
      <c r="Z44" s="42" t="s">
        <v>35</v>
      </c>
      <c r="AA44" s="52" t="str">
        <f aca="false">"("&amp;TEXT(S42, "0") &amp;" Ω) - (" &amp; TEXT(T44, "0") &amp; " Ω)"</f>
        <v>(191 Ω) - (190 Ω)</v>
      </c>
      <c r="AB44" s="42" t="s">
        <v>35</v>
      </c>
      <c r="AC44" s="53" t="n">
        <f aca="false">(S42-T44)/T44</f>
        <v>0.00964302615835561</v>
      </c>
      <c r="AD44" s="19"/>
    </row>
    <row r="45" customFormat="false" ht="21" hidden="false" customHeight="true" outlineLevel="0" collapsed="false">
      <c r="M45" s="6"/>
      <c r="N45" s="42"/>
      <c r="O45" s="42"/>
      <c r="P45" s="42"/>
      <c r="Q45" s="42"/>
      <c r="R45" s="42" t="str">
        <f aca="false">"(" &amp; $J$10 &amp; ") + (" &amp; $J$12 &amp; ")"</f>
        <v>(322 Ω) + (461 Ω)</v>
      </c>
      <c r="S45" s="42"/>
      <c r="T45" s="50"/>
      <c r="U45" s="51"/>
      <c r="W45" s="42"/>
      <c r="X45" s="42"/>
      <c r="Y45" s="54" t="s">
        <v>39</v>
      </c>
      <c r="Z45" s="42"/>
      <c r="AA45" s="55" t="str">
        <f aca="false">"("&amp; TEXT(T44, "0") &amp; " Ω)"</f>
        <v>(190 Ω)</v>
      </c>
      <c r="AB45" s="42"/>
      <c r="AC45" s="53"/>
      <c r="AD45" s="19"/>
    </row>
    <row r="46" customFormat="false" ht="21" hidden="false" customHeight="true" outlineLevel="0" collapsed="false">
      <c r="M46" s="6"/>
      <c r="N46" s="28"/>
      <c r="O46" s="28"/>
      <c r="P46" s="28"/>
      <c r="Q46" s="28"/>
      <c r="R46" s="28"/>
      <c r="S46" s="28"/>
      <c r="T46" s="56"/>
      <c r="U46" s="57"/>
      <c r="W46" s="28"/>
      <c r="X46" s="28"/>
      <c r="Y46" s="54"/>
      <c r="Z46" s="28"/>
      <c r="AA46" s="28"/>
      <c r="AB46" s="28"/>
      <c r="AC46" s="53"/>
      <c r="AD46" s="19"/>
    </row>
    <row r="47" customFormat="false" ht="21" hidden="false" customHeight="true" outlineLevel="0" collapsed="false">
      <c r="M47" s="6"/>
      <c r="N47" s="33" t="s">
        <v>42</v>
      </c>
      <c r="O47" s="33"/>
      <c r="P47" s="33"/>
      <c r="R47" s="13" t="s">
        <v>32</v>
      </c>
      <c r="S47" s="45" t="n">
        <f aca="false">SLOPE(J$20:J$29,H$20:H$29)*1000</f>
        <v>148.936284632593</v>
      </c>
      <c r="T47" s="45"/>
      <c r="U47" s="45"/>
      <c r="V47" s="46" t="s">
        <v>33</v>
      </c>
      <c r="W47" s="33"/>
      <c r="X47" s="33"/>
      <c r="Y47" s="33"/>
      <c r="AC47" s="53"/>
      <c r="AD47" s="19"/>
    </row>
    <row r="48" customFormat="false" ht="9" hidden="false" customHeight="true" outlineLevel="0" collapsed="false">
      <c r="M48" s="6"/>
      <c r="N48" s="47"/>
      <c r="O48" s="47"/>
      <c r="P48" s="47"/>
      <c r="R48" s="48"/>
      <c r="S48" s="28"/>
      <c r="T48" s="28"/>
      <c r="U48" s="28"/>
      <c r="V48" s="49"/>
      <c r="W48" s="47"/>
      <c r="X48" s="47"/>
      <c r="Y48" s="47"/>
      <c r="AC48" s="53"/>
      <c r="AD48" s="19"/>
    </row>
    <row r="49" customFormat="false" ht="21" hidden="false" customHeight="true" outlineLevel="0" collapsed="false">
      <c r="M49" s="6"/>
      <c r="N49" s="42" t="s">
        <v>34</v>
      </c>
      <c r="O49" s="42" t="s">
        <v>35</v>
      </c>
      <c r="P49" s="42" t="s">
        <v>43</v>
      </c>
      <c r="Q49" s="42" t="s">
        <v>35</v>
      </c>
      <c r="R49" s="42" t="str">
        <f aca="false">"(" &amp; $J$11 &amp; ")(" &amp; $J$12 &amp; ")"</f>
        <v>(218 Ω)(461 Ω)</v>
      </c>
      <c r="S49" s="42" t="s">
        <v>35</v>
      </c>
      <c r="T49" s="50" t="n">
        <f aca="false">(218* 461)/(218+ 461)</f>
        <v>148.0088365243</v>
      </c>
      <c r="U49" s="51"/>
      <c r="W49" s="42" t="s">
        <v>37</v>
      </c>
      <c r="X49" s="42" t="s">
        <v>35</v>
      </c>
      <c r="Y49" s="10" t="s">
        <v>38</v>
      </c>
      <c r="Z49" s="42" t="s">
        <v>35</v>
      </c>
      <c r="AA49" s="52" t="str">
        <f aca="false">"("&amp;TEXT(S47, "0") &amp;" Ω) - (" &amp; TEXT(T49, "0") &amp; " Ω)"</f>
        <v>(149 Ω) - (148 Ω)</v>
      </c>
      <c r="AB49" s="42" t="s">
        <v>35</v>
      </c>
      <c r="AC49" s="53" t="n">
        <f aca="false">(S47-T49)/T49</f>
        <v>0.00626616714293701</v>
      </c>
      <c r="AD49" s="19"/>
    </row>
    <row r="50" customFormat="false" ht="21" hidden="false" customHeight="true" outlineLevel="0" collapsed="false">
      <c r="M50" s="6"/>
      <c r="N50" s="42"/>
      <c r="O50" s="42"/>
      <c r="P50" s="42"/>
      <c r="Q50" s="42"/>
      <c r="R50" s="42" t="str">
        <f aca="false">"(" &amp; $J$11 &amp; ") + (" &amp; $J$12 &amp; ")"</f>
        <v>(218 Ω) + (461 Ω)</v>
      </c>
      <c r="S50" s="42"/>
      <c r="T50" s="50"/>
      <c r="U50" s="51"/>
      <c r="W50" s="42"/>
      <c r="X50" s="42"/>
      <c r="Y50" s="54" t="s">
        <v>39</v>
      </c>
      <c r="Z50" s="42"/>
      <c r="AA50" s="55" t="str">
        <f aca="false">"("&amp; TEXT(T49, "0") &amp; " Ω)"</f>
        <v>(148 Ω)</v>
      </c>
      <c r="AB50" s="42"/>
      <c r="AC50" s="53"/>
      <c r="AD50" s="19"/>
    </row>
    <row r="51" customFormat="false" ht="21" hidden="false" customHeight="true" outlineLevel="0" collapsed="false">
      <c r="M51" s="6"/>
      <c r="N51" s="28"/>
      <c r="O51" s="28"/>
      <c r="P51" s="28"/>
      <c r="Q51" s="28"/>
      <c r="R51" s="28"/>
      <c r="S51" s="28"/>
      <c r="T51" s="56"/>
      <c r="U51" s="57"/>
      <c r="W51" s="28"/>
      <c r="X51" s="28"/>
      <c r="Y51" s="54"/>
      <c r="Z51" s="28"/>
      <c r="AA51" s="28"/>
      <c r="AB51" s="28"/>
      <c r="AC51" s="53"/>
      <c r="AD51" s="19"/>
    </row>
    <row r="52" customFormat="false" ht="12" hidden="false" customHeight="true" outlineLevel="0" collapsed="false">
      <c r="M52" s="9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  <c r="AC52" s="35"/>
      <c r="AD52" s="36"/>
    </row>
  </sheetData>
  <mergeCells count="64">
    <mergeCell ref="E2:L2"/>
    <mergeCell ref="E3:L3"/>
    <mergeCell ref="E4:H4"/>
    <mergeCell ref="K4:L4"/>
    <mergeCell ref="D7:J7"/>
    <mergeCell ref="F9:H9"/>
    <mergeCell ref="F10:H10"/>
    <mergeCell ref="F11:H11"/>
    <mergeCell ref="F12:H12"/>
    <mergeCell ref="D16:N16"/>
    <mergeCell ref="D17:F17"/>
    <mergeCell ref="H17:J17"/>
    <mergeCell ref="L17:N17"/>
    <mergeCell ref="D18:F18"/>
    <mergeCell ref="H18:J18"/>
    <mergeCell ref="L18:N18"/>
    <mergeCell ref="N34:P34"/>
    <mergeCell ref="N35:T35"/>
    <mergeCell ref="W35:AC35"/>
    <mergeCell ref="N37:P37"/>
    <mergeCell ref="S37:U37"/>
    <mergeCell ref="W37:Y37"/>
    <mergeCell ref="N39:N40"/>
    <mergeCell ref="O39:O40"/>
    <mergeCell ref="P39:P40"/>
    <mergeCell ref="Q39:Q40"/>
    <mergeCell ref="S39:S40"/>
    <mergeCell ref="T39:T40"/>
    <mergeCell ref="U39:U40"/>
    <mergeCell ref="W39:W40"/>
    <mergeCell ref="X39:X40"/>
    <mergeCell ref="Z39:Z40"/>
    <mergeCell ref="AB39:AB40"/>
    <mergeCell ref="AC39:AC40"/>
    <mergeCell ref="N42:P42"/>
    <mergeCell ref="S42:U42"/>
    <mergeCell ref="W42:Y42"/>
    <mergeCell ref="N44:N45"/>
    <mergeCell ref="O44:O45"/>
    <mergeCell ref="P44:P45"/>
    <mergeCell ref="Q44:Q45"/>
    <mergeCell ref="S44:S45"/>
    <mergeCell ref="T44:T45"/>
    <mergeCell ref="U44:U45"/>
    <mergeCell ref="W44:W45"/>
    <mergeCell ref="X44:X45"/>
    <mergeCell ref="Z44:Z45"/>
    <mergeCell ref="AB44:AB45"/>
    <mergeCell ref="AC44:AC45"/>
    <mergeCell ref="N47:P47"/>
    <mergeCell ref="S47:U47"/>
    <mergeCell ref="W47:Y47"/>
    <mergeCell ref="N49:N50"/>
    <mergeCell ref="O49:O50"/>
    <mergeCell ref="P49:P50"/>
    <mergeCell ref="Q49:Q50"/>
    <mergeCell ref="S49:S50"/>
    <mergeCell ref="T49:T50"/>
    <mergeCell ref="U49:U50"/>
    <mergeCell ref="W49:W50"/>
    <mergeCell ref="X49:X50"/>
    <mergeCell ref="Z49:Z50"/>
    <mergeCell ref="AB49:AB50"/>
    <mergeCell ref="AC49:AC5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</TotalTime>
  <Application>LibreOffice/25.2.7.2$Linux_AARCH64 LibreOffice_project/520$Build-2</Application>
  <AppVersion>15.0000</AppVersion>
  <Company>HP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2016-03-25T02:20:49Z</dcterms:created>
  <dc:creator>Laura</dc:creator>
  <dc:description/>
  <dc:language>en-US</dc:language>
  <cp:lastModifiedBy/>
  <dcterms:modified xsi:type="dcterms:W3CDTF">2026-04-01T16:37:53Z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