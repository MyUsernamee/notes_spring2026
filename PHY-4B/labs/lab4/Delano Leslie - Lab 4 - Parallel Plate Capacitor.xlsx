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ab 4 - White Paper" sheetId="1" state="visible" r:id="rId3"/>
    <sheet name="Lab 4 - Mylar" sheetId="2" state="visible" r:id="rId4"/>
    <sheet name="Lab 4 - Waxed Pap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<sst xmlns="http://schemas.openxmlformats.org/spreadsheetml/2006/main" count="124" uniqueCount="41">
  <si>
    <t xml:space="preserve">Name:</t>
  </si>
  <si>
    <t xml:space="preserve">Delano Leslie</t>
  </si>
  <si>
    <t xml:space="preserve">Partner(s):</t>
  </si>
  <si>
    <t xml:space="preserve">Isreal,Maria</t>
  </si>
  <si>
    <t xml:space="preserve">Date:</t>
  </si>
  <si>
    <t xml:space="preserve">03/18/26</t>
  </si>
  <si>
    <t xml:space="preserve">Table #:</t>
  </si>
  <si>
    <t xml:space="preserve">6</t>
  </si>
  <si>
    <t xml:space="preserve">   Dimensions of the Plates (in meters)</t>
  </si>
  <si>
    <t xml:space="preserve">L  </t>
  </si>
  <si>
    <t xml:space="preserve">=</t>
  </si>
  <si>
    <t xml:space="preserve">w  </t>
  </si>
  <si>
    <t xml:space="preserve">Dielectric Data - White Paper</t>
  </si>
  <si>
    <t xml:space="preserve">  # of sheets</t>
  </si>
  <si>
    <t xml:space="preserve">thickness</t>
  </si>
  <si>
    <t xml:space="preserve">  mm</t>
  </si>
  <si>
    <t xml:space="preserve">one sheet</t>
  </si>
  <si>
    <r>
      <rPr>
        <b val="true"/>
        <sz val="12"/>
        <color theme="1"/>
        <rFont val="Calibri"/>
        <family val="2"/>
        <charset val="1"/>
      </rPr>
      <t xml:space="preserve">Part 1: vary </t>
    </r>
    <r>
      <rPr>
        <b val="true"/>
        <i val="true"/>
        <sz val="12"/>
        <color rgb="FF000000"/>
        <rFont val="Calibri"/>
        <family val="2"/>
        <charset val="1"/>
      </rPr>
      <t xml:space="preserve">d</t>
    </r>
    <r>
      <rPr>
        <b val="true"/>
        <sz val="12"/>
        <color rgb="FF000000"/>
        <rFont val="Calibri"/>
        <family val="2"/>
        <charset val="1"/>
      </rPr>
      <t xml:space="preserve"> while holding </t>
    </r>
    <r>
      <rPr>
        <b val="true"/>
        <i val="true"/>
        <sz val="12"/>
        <color rgb="FF000000"/>
        <rFont val="Calibri"/>
        <family val="2"/>
        <charset val="1"/>
      </rPr>
      <t xml:space="preserve">A</t>
    </r>
    <r>
      <rPr>
        <b val="true"/>
        <sz val="12"/>
        <color rgb="FF000000"/>
        <rFont val="Calibri"/>
        <family val="2"/>
        <charset val="1"/>
      </rPr>
      <t xml:space="preserve"> constant</t>
    </r>
  </si>
  <si>
    <t xml:space="preserve">Calculations</t>
  </si>
  <si>
    <t xml:space="preserve">Calculate the dielectric constant</t>
  </si>
  <si>
    <t xml:space="preserve">k</t>
  </si>
  <si>
    <t xml:space="preserve">slope</t>
  </si>
  <si>
    <r>
      <rPr>
        <i val="true"/>
        <sz val="18"/>
        <color rgb="FF000000"/>
        <rFont val="Symbol"/>
        <family val="1"/>
        <charset val="2"/>
      </rPr>
      <t xml:space="preserve">e</t>
    </r>
    <r>
      <rPr>
        <i val="true"/>
        <vertAlign val="subscript"/>
        <sz val="12"/>
        <color rgb="FF000000"/>
        <rFont val="Calibri"/>
        <family val="2"/>
        <charset val="1"/>
      </rPr>
      <t xml:space="preserve">0</t>
    </r>
    <r>
      <rPr>
        <i val="true"/>
        <sz val="12"/>
        <color rgb="FF000000"/>
        <rFont val="Calibri"/>
        <family val="2"/>
        <charset val="1"/>
      </rPr>
      <t xml:space="preserve"> w L</t>
    </r>
  </si>
  <si>
    <r>
      <rPr>
        <b val="true"/>
        <sz val="12"/>
        <color theme="1"/>
        <rFont val="Calibri"/>
        <family val="2"/>
        <charset val="1"/>
      </rPr>
      <t xml:space="preserve">Part 2: vary </t>
    </r>
    <r>
      <rPr>
        <b val="true"/>
        <i val="true"/>
        <sz val="12"/>
        <color rgb="FF000000"/>
        <rFont val="Calibri"/>
        <family val="2"/>
        <charset val="1"/>
      </rPr>
      <t xml:space="preserve">A</t>
    </r>
    <r>
      <rPr>
        <b val="true"/>
        <sz val="12"/>
        <color rgb="FF000000"/>
        <rFont val="Calibri"/>
        <family val="2"/>
        <charset val="1"/>
      </rPr>
      <t xml:space="preserve"> while holding </t>
    </r>
    <r>
      <rPr>
        <b val="true"/>
        <i val="true"/>
        <sz val="12"/>
        <color rgb="FF000000"/>
        <rFont val="Calibri"/>
        <family val="2"/>
        <charset val="1"/>
      </rPr>
      <t xml:space="preserve">d</t>
    </r>
    <r>
      <rPr>
        <b val="true"/>
        <sz val="12"/>
        <color rgb="FF000000"/>
        <rFont val="Calibri"/>
        <family val="2"/>
        <charset val="1"/>
      </rPr>
      <t xml:space="preserve"> constant</t>
    </r>
  </si>
  <si>
    <t xml:space="preserve">d (slope)</t>
  </si>
  <si>
    <r>
      <rPr>
        <i val="true"/>
        <sz val="18"/>
        <color rgb="FF000000"/>
        <rFont val="Symbol"/>
        <family val="1"/>
        <charset val="2"/>
      </rPr>
      <t xml:space="preserve">e</t>
    </r>
    <r>
      <rPr>
        <i val="true"/>
        <vertAlign val="subscript"/>
        <sz val="12"/>
        <color rgb="FF000000"/>
        <rFont val="Calibri"/>
        <family val="2"/>
        <charset val="1"/>
      </rPr>
      <t xml:space="preserve">0</t>
    </r>
    <r>
      <rPr>
        <i val="true"/>
        <sz val="12"/>
        <color rgb="FF000000"/>
        <rFont val="Calibri"/>
        <family val="2"/>
        <charset val="1"/>
      </rPr>
      <t xml:space="preserve"> w</t>
    </r>
  </si>
  <si>
    <t xml:space="preserve">Dielectric Data - Mylar</t>
  </si>
  <si>
    <t xml:space="preserve">Held Area, varying distances.</t>
  </si>
  <si>
    <t xml:space="preserve"># of Sheets</t>
  </si>
  <si>
    <t xml:space="preserve">d(mm)</t>
  </si>
  <si>
    <r>
      <rPr>
        <sz val="11"/>
        <color theme="1"/>
        <rFont val="Calibri"/>
        <family val="2"/>
        <charset val="1"/>
      </rPr>
      <t xml:space="preserve">d</t>
    </r>
    <r>
      <rPr>
        <vertAlign val="superscript"/>
        <sz val="11"/>
        <color theme="1"/>
        <rFont val="Calibri"/>
        <family val="2"/>
        <charset val="1"/>
      </rPr>
      <t xml:space="preserve">-1</t>
    </r>
    <r>
      <rPr>
        <sz val="11"/>
        <color theme="1"/>
        <rFont val="Calibri"/>
        <family val="2"/>
        <charset val="1"/>
      </rPr>
      <t xml:space="preserve">(m</t>
    </r>
    <r>
      <rPr>
        <vertAlign val="superscript"/>
        <sz val="11"/>
        <color theme="1"/>
        <rFont val="Calibri"/>
        <family val="2"/>
        <charset val="1"/>
      </rPr>
      <t xml:space="preserve">-1</t>
    </r>
    <r>
      <rPr>
        <sz val="11"/>
        <color theme="1"/>
        <rFont val="Calibri"/>
        <family val="2"/>
        <charset val="1"/>
      </rPr>
      <t xml:space="preserve">)</t>
    </r>
  </si>
  <si>
    <t xml:space="preserve">C(pF)</t>
  </si>
  <si>
    <r>
      <rPr>
        <sz val="11"/>
        <color theme="1"/>
        <rFont val="Calibri"/>
        <family val="2"/>
        <charset val="1"/>
      </rPr>
      <t xml:space="preserve">(8.854187817 × 10</t>
    </r>
    <r>
      <rPr>
        <vertAlign val="superscript"/>
        <sz val="11"/>
        <color theme="1"/>
        <rFont val="Calibri"/>
        <family val="2"/>
        <charset val="1"/>
      </rPr>
      <t xml:space="preserve">-12</t>
    </r>
    <r>
      <rPr>
        <sz val="11"/>
        <color theme="1"/>
        <rFont val="Calibri"/>
        <family val="2"/>
        <charset val="1"/>
      </rPr>
      <t xml:space="preserve"> C</t>
    </r>
    <r>
      <rPr>
        <vertAlign val="superscript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/N.m</t>
    </r>
    <r>
      <rPr>
        <vertAlign val="superscript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)(0.255 m)(0.102 m)</t>
    </r>
  </si>
  <si>
    <t xml:space="preserve">b(mm)</t>
  </si>
  <si>
    <t xml:space="preserve">x(m)</t>
  </si>
  <si>
    <t xml:space="preserve">(0.37 mm)(127688.651)</t>
  </si>
  <si>
    <t xml:space="preserve">(8.854187817 × 10-12 C2/N.m2)(0.255 m)</t>
  </si>
  <si>
    <t xml:space="preserve">Dielectric Data - Waxed Paper</t>
  </si>
  <si>
    <r>
      <rPr>
        <sz val="11"/>
        <color theme="1"/>
        <rFont val="Calibri"/>
        <family val="2"/>
        <charset val="1"/>
      </rPr>
      <t xml:space="preserve">(8.854x10</t>
    </r>
    <r>
      <rPr>
        <vertAlign val="superscript"/>
        <sz val="11"/>
        <color theme="1"/>
        <rFont val="Calibri"/>
        <family val="2"/>
        <charset val="1"/>
      </rPr>
      <t xml:space="preserve">-12</t>
    </r>
    <r>
      <rPr>
        <sz val="11"/>
        <color theme="1"/>
        <rFont val="Calibri"/>
        <family val="2"/>
        <charset val="1"/>
      </rPr>
      <t xml:space="preserve"> C</t>
    </r>
    <r>
      <rPr>
        <vertAlign val="superscript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/N.m</t>
    </r>
    <r>
      <rPr>
        <vertAlign val="superscript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) (0.102 m) (0.255 m)</t>
    </r>
  </si>
  <si>
    <t xml:space="preserve">b(m)</t>
  </si>
  <si>
    <r>
      <rPr>
        <sz val="11"/>
        <color theme="1"/>
        <rFont val="Calibri"/>
        <family val="2"/>
        <charset val="1"/>
      </rPr>
      <t xml:space="preserve">(8.854x10</t>
    </r>
    <r>
      <rPr>
        <vertAlign val="superscript"/>
        <sz val="11"/>
        <color theme="1"/>
        <rFont val="Calibri"/>
        <family val="2"/>
        <charset val="1"/>
      </rPr>
      <t xml:space="preserve">-12</t>
    </r>
    <r>
      <rPr>
        <sz val="11"/>
        <color theme="1"/>
        <rFont val="Calibri"/>
        <family val="2"/>
        <charset val="1"/>
      </rPr>
      <t xml:space="preserve"> C</t>
    </r>
    <r>
      <rPr>
        <vertAlign val="superscript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/N.m</t>
    </r>
    <r>
      <rPr>
        <vertAlign val="superscript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) (0.102 m)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</si>
</sst>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0"/>
    <numFmt numFmtId="167" formatCode="0.0"/>
    <numFmt numFmtId="168" formatCode="0.00"/>
    <numFmt numFmtId="169" formatCode="0.000"/>
    <numFmt numFmtId="170" formatCode="0.0000"/>
    <numFmt numFmtId="171" formatCode="0.0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i val="true"/>
      <sz val="12"/>
      <color theme="1"/>
      <name val="Calibri"/>
      <family val="2"/>
      <charset val="1"/>
    </font>
    <font>
      <b val="true"/>
      <i val="true"/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i val="true"/>
      <sz val="16"/>
      <color theme="1"/>
      <name val="Symbol"/>
      <family val="1"/>
      <charset val="2"/>
    </font>
    <font>
      <i val="true"/>
      <sz val="12"/>
      <color theme="1"/>
      <name val="Calibri"/>
      <family val="2"/>
      <charset val="1"/>
    </font>
    <font>
      <i val="true"/>
      <sz val="18"/>
      <color rgb="FF000000"/>
      <name val="Symbol"/>
      <family val="1"/>
      <charset val="2"/>
    </font>
    <font>
      <i val="true"/>
      <vertAlign val="subscript"/>
      <sz val="12"/>
      <color rgb="FF000000"/>
      <name val="Calibri"/>
      <family val="2"/>
      <charset val="1"/>
    </font>
    <font>
      <i val="true"/>
      <sz val="12"/>
      <color rgb="FF000000"/>
      <name val="Calibri"/>
      <family val="2"/>
      <charset val="1"/>
    </font>
    <font>
      <sz val="12"/>
      <color theme="1"/>
      <name val="Calibri"/>
      <family val="1"/>
      <charset val="2"/>
    </font>
    <font>
      <vertAlign val="superscript"/>
      <sz val="11"/>
      <color theme="1"/>
      <name val="Calibri"/>
      <family val="2"/>
      <charset val="1"/>
    </font>
    <font>
      <sz val="13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Area Effect on Capacitance
</a:t>
            </a:r>
          </a:p>
          <a:p>
            <a:pPr>
              <a:defRPr b="0" sz="1300" strike="noStrike" u="none">
                <a:uFillTx/>
                <a:latin typeface="Arial"/>
              </a:defRPr>
            </a:pPr>
            <a:r>
              <a:rPr b="0" sz="1100" strike="noStrike" u="none">
                <a:uFillTx/>
                <a:latin typeface="Arial"/>
              </a:rPr>
              <a:t>x(m) v.s. C(pF)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'Lab 4 - Mylar'!$I$42</c:f>
              <c:strCache>
                <c:ptCount val="1"/>
                <c:pt idx="0">
                  <c:v>C(pF)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Pt>
            <c:idx val="9"/>
            <c:marker>
              <c:symbol val="square"/>
              <c:size val="8"/>
              <c:spPr>
                <a:solidFill>
                  <a:srgbClr val="004586"/>
                </a:solidFill>
              </c:spPr>
            </c:marker>
          </c:dPt>
          <c:dLbls>
            <c:dLbl>
              <c:idx val="9"/>
              <c:txPr>
                <a:bodyPr wrap="non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'Lab 4 - Mylar'!$G$43:$G$52</c:f>
              <c:numCache>
                <c:formatCode>General</c:formatCode>
                <c:ptCount val="10"/>
                <c:pt idx="0">
                  <c:v>0.235</c:v>
                </c:pt>
                <c:pt idx="1">
                  <c:v>0.225</c:v>
                </c:pt>
                <c:pt idx="2">
                  <c:v>0.215</c:v>
                </c:pt>
                <c:pt idx="3">
                  <c:v>0.205</c:v>
                </c:pt>
                <c:pt idx="4">
                  <c:v>0.195</c:v>
                </c:pt>
                <c:pt idx="5">
                  <c:v>0.185</c:v>
                </c:pt>
                <c:pt idx="6">
                  <c:v>0.175</c:v>
                </c:pt>
                <c:pt idx="7">
                  <c:v>0.165</c:v>
                </c:pt>
                <c:pt idx="8">
                  <c:v>0.155</c:v>
                </c:pt>
                <c:pt idx="9">
                  <c:v>0.145</c:v>
                </c:pt>
              </c:numCache>
            </c:numRef>
          </c:xVal>
          <c:yVal>
            <c:numRef>
              <c:f>'Lab 4 - Mylar'!$I$43:$I$52</c:f>
              <c:numCache>
                <c:formatCode>General</c:formatCode>
                <c:ptCount val="10"/>
                <c:pt idx="0">
                  <c:v>2760</c:v>
                </c:pt>
                <c:pt idx="1">
                  <c:v>2680</c:v>
                </c:pt>
                <c:pt idx="2">
                  <c:v>2410</c:v>
                </c:pt>
                <c:pt idx="3">
                  <c:v>2450</c:v>
                </c:pt>
                <c:pt idx="4">
                  <c:v>2270</c:v>
                </c:pt>
                <c:pt idx="5">
                  <c:v>2200</c:v>
                </c:pt>
                <c:pt idx="6">
                  <c:v>2100</c:v>
                </c:pt>
                <c:pt idx="7">
                  <c:v>1720</c:v>
                </c:pt>
                <c:pt idx="8">
                  <c:v>1600</c:v>
                </c:pt>
                <c:pt idx="9">
                  <c:v>1720</c:v>
                </c:pt>
              </c:numCache>
            </c:numRef>
          </c:yVal>
          <c:smooth val="0"/>
        </c:ser>
        <c:axId val="82894738"/>
        <c:axId val="94048424"/>
      </c:scatterChart>
      <c:valAx>
        <c:axId val="828947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x(m)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4048424"/>
        <c:crosses val="autoZero"/>
        <c:crossBetween val="midCat"/>
      </c:valAx>
      <c:valAx>
        <c:axId val="940484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C(pF)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289473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Dielectric Seperation Effect on Capacitance
</a:t>
            </a:r>
          </a:p>
          <a:p>
            <a:pPr>
              <a:defRPr b="0" sz="1300" strike="noStrike" u="none">
                <a:uFillTx/>
                <a:latin typeface="Arial"/>
              </a:defRPr>
            </a:pPr>
            <a:r>
              <a:rPr b="0" sz="1100" strike="noStrike" u="none">
                <a:uFillTx/>
                <a:latin typeface="Arial"/>
              </a:rPr>
              <a:t>d^-1(m^-1) v.s. C(pF)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'Lab 4 - Mylar'!$I$24</c:f>
              <c:strCache>
                <c:ptCount val="1"/>
                <c:pt idx="0">
                  <c:v>C(pF)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'Lab 4 - Mylar'!$G$25:$G$34</c:f>
              <c:numCache>
                <c:formatCode>General</c:formatCode>
                <c:ptCount val="10"/>
                <c:pt idx="0">
                  <c:v>5405.40540540541</c:v>
                </c:pt>
                <c:pt idx="1">
                  <c:v>2702.7027027027</c:v>
                </c:pt>
                <c:pt idx="2">
                  <c:v>1801.8018018018</c:v>
                </c:pt>
                <c:pt idx="3">
                  <c:v>1351.35135135135</c:v>
                </c:pt>
                <c:pt idx="4">
                  <c:v>1081.08108108108</c:v>
                </c:pt>
                <c:pt idx="5">
                  <c:v>900.900900900901</c:v>
                </c:pt>
                <c:pt idx="6">
                  <c:v>772.200772200772</c:v>
                </c:pt>
                <c:pt idx="7">
                  <c:v>675.675675675676</c:v>
                </c:pt>
                <c:pt idx="8">
                  <c:v>600.600600600601</c:v>
                </c:pt>
                <c:pt idx="9">
                  <c:v>540.540540540541</c:v>
                </c:pt>
              </c:numCache>
            </c:numRef>
          </c:xVal>
          <c:yVal>
            <c:numRef>
              <c:f>'Lab 4 - Mylar'!$I$25:$I$34</c:f>
              <c:numCache>
                <c:formatCode>General</c:formatCode>
                <c:ptCount val="10"/>
                <c:pt idx="0">
                  <c:v>1868</c:v>
                </c:pt>
                <c:pt idx="1">
                  <c:v>1230</c:v>
                </c:pt>
                <c:pt idx="2">
                  <c:v>810</c:v>
                </c:pt>
                <c:pt idx="3">
                  <c:v>680</c:v>
                </c:pt>
                <c:pt idx="4">
                  <c:v>520</c:v>
                </c:pt>
                <c:pt idx="5">
                  <c:v>450</c:v>
                </c:pt>
                <c:pt idx="6">
                  <c:v>380</c:v>
                </c:pt>
                <c:pt idx="7">
                  <c:v>350</c:v>
                </c:pt>
                <c:pt idx="8">
                  <c:v>310</c:v>
                </c:pt>
                <c:pt idx="9">
                  <c:v>290</c:v>
                </c:pt>
              </c:numCache>
            </c:numRef>
          </c:yVal>
          <c:smooth val="0"/>
        </c:ser>
        <c:axId val="99688166"/>
        <c:axId val="34706090"/>
      </c:scatterChart>
      <c:valAx>
        <c:axId val="996881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d^-1(m^-1)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4706090"/>
        <c:crosses val="autoZero"/>
        <c:crossBetween val="midCat"/>
      </c:valAx>
      <c:valAx>
        <c:axId val="3470609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d^-1(m^-1)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968816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Dielectric Seperation Effect on Capacitance
</a:t>
            </a:r>
          </a:p>
          <a:p>
            <a:pPr>
              <a:defRPr b="0" sz="1300" strike="noStrike" u="none">
                <a:uFillTx/>
                <a:latin typeface="Arial"/>
              </a:defRPr>
            </a:pPr>
            <a:r>
              <a:rPr b="0" sz="1100" strike="noStrike" u="none">
                <a:uFillTx/>
                <a:latin typeface="Arial"/>
              </a:rPr>
              <a:t>d^-1(m^-1) v.s. C(pF)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'Lab 4 - Waxed Paper'!$I$24</c:f>
              <c:strCache>
                <c:ptCount val="1"/>
                <c:pt idx="0">
                  <c:v>C(pF)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'Lab 4 - Waxed Paper'!$G$25:$G$32</c:f>
              <c:numCache>
                <c:formatCode>0.00</c:formatCode>
                <c:ptCount val="8"/>
                <c:pt idx="0">
                  <c:v>42424.2424242424</c:v>
                </c:pt>
                <c:pt idx="1">
                  <c:v>21212.1212121212</c:v>
                </c:pt>
                <c:pt idx="2">
                  <c:v>14141.4141414141</c:v>
                </c:pt>
                <c:pt idx="3">
                  <c:v>10606.0606060606</c:v>
                </c:pt>
                <c:pt idx="4">
                  <c:v>8484.84848484848</c:v>
                </c:pt>
                <c:pt idx="5">
                  <c:v>7070.70707070707</c:v>
                </c:pt>
                <c:pt idx="6">
                  <c:v>6060.60606060606</c:v>
                </c:pt>
                <c:pt idx="7">
                  <c:v>5303.0303030303</c:v>
                </c:pt>
              </c:numCache>
            </c:numRef>
          </c:xVal>
          <c:yVal>
            <c:numRef>
              <c:f>'Lab 4 - Waxed Paper'!$I$25:$I$32</c:f>
              <c:numCache>
                <c:formatCode>General</c:formatCode>
                <c:ptCount val="8"/>
                <c:pt idx="0">
                  <c:v>15000</c:v>
                </c:pt>
                <c:pt idx="1">
                  <c:v>7010</c:v>
                </c:pt>
                <c:pt idx="2">
                  <c:v>4940</c:v>
                </c:pt>
                <c:pt idx="3">
                  <c:v>3400</c:v>
                </c:pt>
                <c:pt idx="4">
                  <c:v>2550</c:v>
                </c:pt>
                <c:pt idx="5">
                  <c:v>2380</c:v>
                </c:pt>
                <c:pt idx="6">
                  <c:v>1800</c:v>
                </c:pt>
                <c:pt idx="7">
                  <c:v>1680</c:v>
                </c:pt>
              </c:numCache>
            </c:numRef>
          </c:yVal>
          <c:smooth val="0"/>
        </c:ser>
        <c:axId val="38579043"/>
        <c:axId val="86737948"/>
      </c:scatterChart>
      <c:valAx>
        <c:axId val="385790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d^-1(m^-1)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6737948"/>
        <c:crosses val="autoZero"/>
        <c:crossBetween val="midCat"/>
      </c:valAx>
      <c:valAx>
        <c:axId val="867379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C(pF)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857904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Area Effect On Capacitance
</a:t>
            </a:r>
          </a:p>
          <a:p>
            <a:pPr>
              <a:defRPr b="0" sz="1300" strike="noStrike" u="none">
                <a:uFillTx/>
                <a:latin typeface="Arial"/>
              </a:defRPr>
            </a:pPr>
            <a:r>
              <a:rPr b="0" sz="1100" strike="noStrike" u="none">
                <a:uFillTx/>
                <a:latin typeface="Arial"/>
              </a:rPr>
              <a:t>x(m) v.s. C(pF)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'Lab 4 - Waxed Paper'!$I$40</c:f>
              <c:strCache>
                <c:ptCount val="1"/>
                <c:pt idx="0">
                  <c:v>C(pF)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Pt>
            <c:idx val="2"/>
            <c:marker>
              <c:symbol val="square"/>
              <c:size val="8"/>
              <c:spPr>
                <a:solidFill>
                  <a:srgbClr val="004586"/>
                </a:solidFill>
              </c:spPr>
            </c:marker>
          </c:dPt>
          <c:dLbls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0"/>
          </c:trendline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'Lab 4 - Waxed Paper'!$G$41:$G$50</c:f>
              <c:numCache>
                <c:formatCode>General</c:formatCode>
                <c:ptCount val="10"/>
                <c:pt idx="0">
                  <c:v>0.235</c:v>
                </c:pt>
                <c:pt idx="1">
                  <c:v>0.225</c:v>
                </c:pt>
                <c:pt idx="2">
                  <c:v>0.215</c:v>
                </c:pt>
                <c:pt idx="3">
                  <c:v>0.205</c:v>
                </c:pt>
                <c:pt idx="4">
                  <c:v>0.195</c:v>
                </c:pt>
                <c:pt idx="5">
                  <c:v>0.185</c:v>
                </c:pt>
              </c:numCache>
            </c:numRef>
          </c:xVal>
          <c:yVal>
            <c:numRef>
              <c:f>'Lab 4 - Waxed Paper'!$I$41:$I$50</c:f>
              <c:numCache>
                <c:formatCode>General</c:formatCode>
                <c:ptCount val="10"/>
                <c:pt idx="0">
                  <c:v>6310</c:v>
                </c:pt>
                <c:pt idx="1">
                  <c:v>5750</c:v>
                </c:pt>
                <c:pt idx="2">
                  <c:v>5150</c:v>
                </c:pt>
                <c:pt idx="3">
                  <c:v>4300</c:v>
                </c:pt>
                <c:pt idx="4">
                  <c:v>3600</c:v>
                </c:pt>
                <c:pt idx="5">
                  <c:v>2700</c:v>
                </c:pt>
              </c:numCache>
            </c:numRef>
          </c:yVal>
          <c:smooth val="0"/>
        </c:ser>
        <c:axId val="21462536"/>
        <c:axId val="54741897"/>
      </c:scatterChart>
      <c:valAx>
        <c:axId val="214625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x(m)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4741897"/>
        <c:crosses val="autoZero"/>
        <c:crossBetween val="midCat"/>
      </c:valAx>
      <c:valAx>
        <c:axId val="5474189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C(pF)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146253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284400</xdr:colOff>
      <xdr:row>39</xdr:row>
      <xdr:rowOff>1440</xdr:rowOff>
    </xdr:from>
    <xdr:to>
      <xdr:col>20</xdr:col>
      <xdr:colOff>146880</xdr:colOff>
      <xdr:row>50</xdr:row>
      <xdr:rowOff>50040</xdr:rowOff>
    </xdr:to>
    <xdr:graphicFrame>
      <xdr:nvGraphicFramePr>
        <xdr:cNvPr id="0" name=""/>
        <xdr:cNvGraphicFramePr/>
      </xdr:nvGraphicFramePr>
      <xdr:xfrm>
        <a:off x="4642920" y="1013616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277920</xdr:colOff>
      <xdr:row>21</xdr:row>
      <xdr:rowOff>76680</xdr:rowOff>
    </xdr:from>
    <xdr:to>
      <xdr:col>20</xdr:col>
      <xdr:colOff>183600</xdr:colOff>
      <xdr:row>34</xdr:row>
      <xdr:rowOff>113040</xdr:rowOff>
    </xdr:to>
    <xdr:graphicFrame>
      <xdr:nvGraphicFramePr>
        <xdr:cNvPr id="1" name=""/>
        <xdr:cNvGraphicFramePr/>
      </xdr:nvGraphicFramePr>
      <xdr:xfrm>
        <a:off x="4636440" y="5362920"/>
        <a:ext cx="5802480" cy="3836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45000</xdr:colOff>
      <xdr:row>18</xdr:row>
      <xdr:rowOff>157680</xdr:rowOff>
    </xdr:from>
    <xdr:to>
      <xdr:col>20</xdr:col>
      <xdr:colOff>497520</xdr:colOff>
      <xdr:row>34</xdr:row>
      <xdr:rowOff>9000</xdr:rowOff>
    </xdr:to>
    <xdr:graphicFrame>
      <xdr:nvGraphicFramePr>
        <xdr:cNvPr id="2" name=""/>
        <xdr:cNvGraphicFramePr/>
      </xdr:nvGraphicFramePr>
      <xdr:xfrm>
        <a:off x="4403520" y="4901040"/>
        <a:ext cx="6349320" cy="4089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248400</xdr:colOff>
      <xdr:row>34</xdr:row>
      <xdr:rowOff>126000</xdr:rowOff>
    </xdr:from>
    <xdr:to>
      <xdr:col>20</xdr:col>
      <xdr:colOff>110880</xdr:colOff>
      <xdr:row>46</xdr:row>
      <xdr:rowOff>240840</xdr:rowOff>
    </xdr:to>
    <xdr:graphicFrame>
      <xdr:nvGraphicFramePr>
        <xdr:cNvPr id="3" name=""/>
        <xdr:cNvGraphicFramePr/>
      </xdr:nvGraphicFramePr>
      <xdr:xfrm>
        <a:off x="4606920" y="910800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D5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8" activeCellId="0" sqref="E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.57"/>
    <col collapsed="false" customWidth="true" hidden="false" outlineLevel="0" max="3" min="3" style="2" width="10"/>
    <col collapsed="false" customWidth="true" hidden="false" outlineLevel="0" max="4" min="4" style="2" width="3.57"/>
    <col collapsed="false" customWidth="true" hidden="false" outlineLevel="0" max="5" min="5" style="2" width="10"/>
    <col collapsed="false" customWidth="true" hidden="false" outlineLevel="0" max="6" min="6" style="1" width="3.57"/>
    <col collapsed="false" customWidth="true" hidden="false" outlineLevel="0" max="7" min="7" style="1" width="10"/>
    <col collapsed="false" customWidth="true" hidden="false" outlineLevel="0" max="8" min="8" style="1" width="3.57"/>
    <col collapsed="false" customWidth="true" hidden="false" outlineLevel="0" max="9" min="9" style="1" width="10"/>
    <col collapsed="false" customWidth="true" hidden="false" outlineLevel="0" max="10" min="10" style="1" width="3.57"/>
    <col collapsed="false" customWidth="true" hidden="false" outlineLevel="0" max="21" min="13" style="1" width="8.29"/>
    <col collapsed="false" customWidth="true" hidden="false" outlineLevel="0" max="22" min="22" style="1" width="2.29"/>
    <col collapsed="false" customWidth="true" hidden="false" outlineLevel="0" max="23" min="23" style="1" width="7.42"/>
    <col collapsed="false" customWidth="true" hidden="false" outlineLevel="0" max="24" min="24" style="1" width="3.57"/>
    <col collapsed="false" customWidth="true" hidden="false" outlineLevel="0" max="25" min="25" style="1" width="11.57"/>
    <col collapsed="false" customWidth="true" hidden="false" outlineLevel="0" max="26" min="26" style="1" width="3.57"/>
    <col collapsed="false" customWidth="true" hidden="false" outlineLevel="0" max="27" min="27" style="1" width="37"/>
    <col collapsed="false" customWidth="true" hidden="false" outlineLevel="0" max="28" min="28" style="1" width="3.57"/>
    <col collapsed="false" customWidth="true" hidden="false" outlineLevel="0" max="29" min="29" style="1" width="9.14"/>
    <col collapsed="false" customWidth="true" hidden="false" outlineLevel="0" max="30" min="30" style="1" width="2.29"/>
  </cols>
  <sheetData>
    <row r="1" customFormat="false" ht="15" hidden="false" customHeight="false" outlineLevel="0" collapsed="false"/>
    <row r="2" customFormat="false" ht="30.75" hidden="false" customHeight="true" outlineLevel="0" collapsed="false">
      <c r="B2" s="3" t="s">
        <v>0</v>
      </c>
      <c r="C2" s="3"/>
      <c r="D2" s="3"/>
      <c r="E2" s="4" t="s">
        <v>1</v>
      </c>
      <c r="F2" s="4"/>
      <c r="G2" s="4"/>
      <c r="H2" s="4"/>
      <c r="I2" s="4"/>
      <c r="J2" s="4"/>
      <c r="K2" s="4"/>
      <c r="L2" s="4"/>
    </row>
    <row r="3" customFormat="false" ht="30.75" hidden="false" customHeight="true" outlineLevel="0" collapsed="false">
      <c r="B3" s="5" t="s">
        <v>2</v>
      </c>
      <c r="C3" s="5"/>
      <c r="D3" s="5"/>
      <c r="E3" s="6" t="s">
        <v>3</v>
      </c>
      <c r="F3" s="6"/>
      <c r="G3" s="6"/>
      <c r="H3" s="6"/>
      <c r="I3" s="6"/>
      <c r="J3" s="6"/>
      <c r="K3" s="6"/>
      <c r="L3" s="6"/>
    </row>
    <row r="4" customFormat="false" ht="30.75" hidden="false" customHeight="true" outlineLevel="0" collapsed="false">
      <c r="B4" s="7" t="s">
        <v>4</v>
      </c>
      <c r="C4" s="7"/>
      <c r="D4" s="7"/>
      <c r="E4" s="8" t="s">
        <v>5</v>
      </c>
      <c r="F4" s="8"/>
      <c r="G4" s="8"/>
      <c r="H4" s="8"/>
      <c r="I4" s="8"/>
      <c r="J4" s="8"/>
      <c r="K4" s="9" t="s">
        <v>6</v>
      </c>
      <c r="L4" s="10" t="s">
        <v>7</v>
      </c>
    </row>
    <row r="5" customFormat="false" ht="15" hidden="false" customHeight="false" outlineLevel="0" collapsed="false"/>
    <row r="6" customFormat="false" ht="12" hidden="false" customHeight="true" outlineLevel="0" collapsed="false">
      <c r="B6" s="11"/>
      <c r="C6" s="12"/>
      <c r="D6" s="12"/>
      <c r="E6" s="12"/>
      <c r="F6" s="13"/>
      <c r="G6" s="13"/>
      <c r="H6" s="14"/>
    </row>
    <row r="7" customFormat="false" ht="18.75" hidden="false" customHeight="true" outlineLevel="0" collapsed="false">
      <c r="B7" s="15"/>
      <c r="C7" s="16" t="s">
        <v>8</v>
      </c>
      <c r="D7" s="16"/>
      <c r="E7" s="16"/>
      <c r="F7" s="16"/>
      <c r="G7" s="16"/>
      <c r="H7" s="17"/>
    </row>
    <row r="8" customFormat="false" ht="21.75" hidden="false" customHeight="true" outlineLevel="0" collapsed="false">
      <c r="B8" s="15"/>
      <c r="C8" s="18" t="s">
        <v>9</v>
      </c>
      <c r="D8" s="19" t="s">
        <v>10</v>
      </c>
      <c r="E8" s="19" t="n">
        <f aca="false">25.5/100</f>
        <v>0.255</v>
      </c>
      <c r="F8" s="20"/>
      <c r="G8" s="20" t="n">
        <v>0.225</v>
      </c>
      <c r="H8" s="17"/>
    </row>
    <row r="9" customFormat="false" ht="21.75" hidden="false" customHeight="true" outlineLevel="0" collapsed="false">
      <c r="B9" s="15"/>
      <c r="C9" s="18" t="s">
        <v>11</v>
      </c>
      <c r="D9" s="19" t="s">
        <v>10</v>
      </c>
      <c r="E9" s="19" t="n">
        <f aca="false">10.2/100</f>
        <v>0.102</v>
      </c>
      <c r="F9" s="20"/>
      <c r="G9" s="20" t="n">
        <v>0.101</v>
      </c>
      <c r="H9" s="17"/>
    </row>
    <row r="10" customFormat="false" ht="12" hidden="false" customHeight="true" outlineLevel="0" collapsed="false">
      <c r="B10" s="21"/>
      <c r="C10" s="22"/>
      <c r="D10" s="22"/>
      <c r="E10" s="22"/>
      <c r="F10" s="23"/>
      <c r="G10" s="23"/>
      <c r="H10" s="24"/>
    </row>
    <row r="11" customFormat="false" ht="18.75" hidden="false" customHeight="true" outlineLevel="0" collapsed="false"/>
    <row r="12" customFormat="false" ht="12" hidden="false" customHeight="true" outlineLevel="0" collapsed="false">
      <c r="B12" s="11"/>
      <c r="C12" s="12"/>
      <c r="D12" s="12"/>
      <c r="E12" s="12"/>
      <c r="F12" s="13"/>
      <c r="G12" s="14"/>
      <c r="H12" s="20"/>
    </row>
    <row r="13" customFormat="false" ht="23.25" hidden="false" customHeight="true" outlineLevel="0" collapsed="false">
      <c r="B13" s="15"/>
      <c r="C13" s="25" t="s">
        <v>12</v>
      </c>
      <c r="D13" s="25"/>
      <c r="E13" s="25"/>
      <c r="F13" s="25"/>
      <c r="G13" s="25"/>
      <c r="H13" s="20"/>
    </row>
    <row r="14" customFormat="false" ht="23.25" hidden="false" customHeight="true" outlineLevel="0" collapsed="false">
      <c r="B14" s="15"/>
      <c r="C14" s="26" t="s">
        <v>13</v>
      </c>
      <c r="D14" s="26"/>
      <c r="E14" s="19" t="n">
        <v>20</v>
      </c>
      <c r="F14" s="27"/>
      <c r="G14" s="28"/>
      <c r="H14" s="20"/>
    </row>
    <row r="15" customFormat="false" ht="23.25" hidden="false" customHeight="true" outlineLevel="0" collapsed="false">
      <c r="B15" s="15"/>
      <c r="C15" s="26" t="s">
        <v>14</v>
      </c>
      <c r="D15" s="26"/>
      <c r="E15" s="19" t="n">
        <v>2.08</v>
      </c>
      <c r="F15" s="27" t="s">
        <v>15</v>
      </c>
      <c r="G15" s="28"/>
      <c r="H15" s="20"/>
    </row>
    <row r="16" customFormat="false" ht="23.25" hidden="false" customHeight="true" outlineLevel="0" collapsed="false">
      <c r="B16" s="15"/>
      <c r="C16" s="26" t="s">
        <v>16</v>
      </c>
      <c r="D16" s="26"/>
      <c r="E16" s="19"/>
      <c r="F16" s="27" t="s">
        <v>15</v>
      </c>
      <c r="G16" s="28"/>
      <c r="H16" s="20"/>
    </row>
    <row r="17" customFormat="false" ht="15" hidden="false" customHeight="false" outlineLevel="0" collapsed="false">
      <c r="B17" s="21"/>
      <c r="C17" s="22"/>
      <c r="D17" s="22"/>
      <c r="E17" s="22"/>
      <c r="F17" s="23"/>
      <c r="G17" s="24"/>
      <c r="H17" s="20"/>
    </row>
    <row r="18" customFormat="false" ht="26.25" hidden="false" customHeight="true" outlineLevel="0" collapsed="false"/>
    <row r="19" customFormat="false" ht="22.5" hidden="false" customHeight="true" outlineLevel="0" collapsed="false">
      <c r="C19" s="29" t="s">
        <v>17</v>
      </c>
      <c r="D19" s="29"/>
      <c r="E19" s="29"/>
      <c r="F19" s="29"/>
      <c r="G19" s="29"/>
      <c r="H19" s="29"/>
    </row>
    <row r="20" customFormat="false" ht="8.25" hidden="false" customHeight="true" outlineLevel="0" collapsed="false"/>
    <row r="21" customFormat="false" ht="12" hidden="false" customHeight="true" outlineLevel="0" collapsed="false">
      <c r="B21" s="11"/>
      <c r="C21" s="12"/>
      <c r="D21" s="12"/>
      <c r="E21" s="12"/>
      <c r="F21" s="13"/>
      <c r="G21" s="13"/>
      <c r="H21" s="13"/>
      <c r="I21" s="13"/>
      <c r="J21" s="14"/>
      <c r="V21" s="11"/>
      <c r="W21" s="13"/>
      <c r="X21" s="13"/>
      <c r="Y21" s="13"/>
      <c r="Z21" s="13"/>
      <c r="AA21" s="13"/>
      <c r="AB21" s="13"/>
      <c r="AC21" s="13"/>
      <c r="AD21" s="14"/>
    </row>
    <row r="22" customFormat="false" ht="24" hidden="false" customHeight="true" outlineLevel="0" collapsed="false">
      <c r="B22" s="15"/>
      <c r="C22" s="30"/>
      <c r="D22" s="30"/>
      <c r="E22" s="30"/>
      <c r="F22" s="30"/>
      <c r="G22" s="30"/>
      <c r="H22" s="30"/>
      <c r="I22" s="30"/>
      <c r="J22" s="17"/>
      <c r="V22" s="15"/>
      <c r="W22" s="31" t="s">
        <v>18</v>
      </c>
      <c r="X22" s="31"/>
      <c r="Y22" s="31"/>
      <c r="Z22" s="31"/>
      <c r="AA22" s="20"/>
      <c r="AB22" s="20"/>
      <c r="AC22" s="20"/>
      <c r="AD22" s="17"/>
    </row>
    <row r="23" customFormat="false" ht="11.25" hidden="false" customHeight="true" outlineLevel="0" collapsed="false">
      <c r="B23" s="15"/>
      <c r="C23" s="30"/>
      <c r="D23" s="30"/>
      <c r="E23" s="30"/>
      <c r="F23" s="20"/>
      <c r="G23" s="20"/>
      <c r="H23" s="20"/>
      <c r="I23" s="20"/>
      <c r="J23" s="17"/>
      <c r="V23" s="15"/>
      <c r="W23" s="32"/>
      <c r="X23" s="32"/>
      <c r="Y23" s="32"/>
      <c r="Z23" s="32"/>
      <c r="AA23" s="20"/>
      <c r="AB23" s="20"/>
      <c r="AC23" s="20"/>
      <c r="AD23" s="17"/>
    </row>
    <row r="24" customFormat="false" ht="24" hidden="false" customHeight="true" outlineLevel="0" collapsed="false">
      <c r="B24" s="15"/>
      <c r="C24" s="22"/>
      <c r="D24" s="19"/>
      <c r="E24" s="22"/>
      <c r="F24" s="20"/>
      <c r="G24" s="23"/>
      <c r="H24" s="20"/>
      <c r="I24" s="23"/>
      <c r="J24" s="17"/>
      <c r="V24" s="15"/>
      <c r="W24" s="33" t="s">
        <v>19</v>
      </c>
      <c r="X24" s="34"/>
      <c r="Y24" s="34"/>
      <c r="Z24" s="19"/>
      <c r="AA24" s="20"/>
      <c r="AB24" s="20"/>
      <c r="AC24" s="20"/>
      <c r="AD24" s="17"/>
    </row>
    <row r="25" customFormat="false" ht="24" hidden="false" customHeight="true" outlineLevel="0" collapsed="false">
      <c r="B25" s="15"/>
      <c r="C25" s="19"/>
      <c r="D25" s="19"/>
      <c r="E25" s="19"/>
      <c r="F25" s="20"/>
      <c r="G25" s="20"/>
      <c r="H25" s="20"/>
      <c r="I25" s="20"/>
      <c r="J25" s="17"/>
      <c r="V25" s="15"/>
      <c r="W25" s="34"/>
      <c r="X25" s="34"/>
      <c r="Y25" s="34"/>
      <c r="Z25" s="19"/>
      <c r="AA25" s="20"/>
      <c r="AB25" s="20"/>
      <c r="AC25" s="20"/>
      <c r="AD25" s="17"/>
    </row>
    <row r="26" customFormat="false" ht="24" hidden="false" customHeight="true" outlineLevel="0" collapsed="false">
      <c r="B26" s="15"/>
      <c r="C26" s="19"/>
      <c r="D26" s="19"/>
      <c r="E26" s="19"/>
      <c r="F26" s="20"/>
      <c r="G26" s="20"/>
      <c r="H26" s="20"/>
      <c r="I26" s="20"/>
      <c r="J26" s="17"/>
      <c r="V26" s="15"/>
      <c r="W26" s="35" t="s">
        <v>20</v>
      </c>
      <c r="X26" s="34" t="s">
        <v>10</v>
      </c>
      <c r="Y26" s="36" t="s">
        <v>21</v>
      </c>
      <c r="Z26" s="34" t="s">
        <v>10</v>
      </c>
      <c r="AA26" s="23"/>
      <c r="AB26" s="34" t="s">
        <v>10</v>
      </c>
      <c r="AC26" s="37"/>
      <c r="AD26" s="17"/>
    </row>
    <row r="27" customFormat="false" ht="24" hidden="false" customHeight="true" outlineLevel="0" collapsed="false">
      <c r="B27" s="15"/>
      <c r="C27" s="19"/>
      <c r="D27" s="19"/>
      <c r="E27" s="19"/>
      <c r="F27" s="20"/>
      <c r="G27" s="20"/>
      <c r="H27" s="20"/>
      <c r="I27" s="20"/>
      <c r="J27" s="17"/>
      <c r="V27" s="15"/>
      <c r="W27" s="35"/>
      <c r="X27" s="34"/>
      <c r="Y27" s="38" t="s">
        <v>22</v>
      </c>
      <c r="Z27" s="34"/>
      <c r="AA27" s="20"/>
      <c r="AB27" s="34"/>
      <c r="AC27" s="37"/>
      <c r="AD27" s="17"/>
    </row>
    <row r="28" customFormat="false" ht="24" hidden="false" customHeight="true" outlineLevel="0" collapsed="false">
      <c r="B28" s="15"/>
      <c r="C28" s="19"/>
      <c r="D28" s="19"/>
      <c r="E28" s="19"/>
      <c r="F28" s="20"/>
      <c r="G28" s="20"/>
      <c r="H28" s="20"/>
      <c r="I28" s="20"/>
      <c r="J28" s="17"/>
      <c r="V28" s="21"/>
      <c r="W28" s="23"/>
      <c r="X28" s="23"/>
      <c r="Y28" s="23"/>
      <c r="Z28" s="23"/>
      <c r="AA28" s="23"/>
      <c r="AB28" s="23"/>
      <c r="AC28" s="23"/>
      <c r="AD28" s="24"/>
    </row>
    <row r="29" customFormat="false" ht="24" hidden="false" customHeight="true" outlineLevel="0" collapsed="false">
      <c r="B29" s="15"/>
      <c r="C29" s="19"/>
      <c r="D29" s="19"/>
      <c r="E29" s="19"/>
      <c r="F29" s="20"/>
      <c r="G29" s="20"/>
      <c r="H29" s="20"/>
      <c r="I29" s="20"/>
      <c r="J29" s="17"/>
      <c r="V29" s="20"/>
      <c r="W29" s="39"/>
      <c r="X29" s="39"/>
      <c r="Y29" s="39"/>
      <c r="Z29" s="39"/>
      <c r="AA29" s="39"/>
      <c r="AB29" s="39"/>
      <c r="AC29" s="20"/>
      <c r="AD29" s="20"/>
    </row>
    <row r="30" customFormat="false" ht="24" hidden="false" customHeight="true" outlineLevel="0" collapsed="false">
      <c r="B30" s="15"/>
      <c r="C30" s="19"/>
      <c r="D30" s="19"/>
      <c r="E30" s="19"/>
      <c r="F30" s="20"/>
      <c r="G30" s="20"/>
      <c r="H30" s="20"/>
      <c r="I30" s="20"/>
      <c r="J30" s="17"/>
      <c r="V30" s="20"/>
      <c r="W30" s="40"/>
      <c r="X30" s="40"/>
      <c r="Y30" s="40"/>
      <c r="Z30" s="40"/>
      <c r="AA30" s="19"/>
      <c r="AB30" s="19"/>
      <c r="AC30" s="33"/>
      <c r="AD30" s="20"/>
    </row>
    <row r="31" customFormat="false" ht="24" hidden="false" customHeight="true" outlineLevel="0" collapsed="false">
      <c r="B31" s="15"/>
      <c r="C31" s="19"/>
      <c r="D31" s="19"/>
      <c r="E31" s="19"/>
      <c r="F31" s="20"/>
      <c r="G31" s="20"/>
      <c r="H31" s="20"/>
      <c r="I31" s="20"/>
      <c r="J31" s="17"/>
      <c r="V31" s="20"/>
      <c r="W31" s="20"/>
      <c r="X31" s="20"/>
      <c r="Y31" s="20"/>
      <c r="Z31" s="20"/>
      <c r="AA31" s="20"/>
      <c r="AB31" s="20"/>
      <c r="AC31" s="20"/>
      <c r="AD31" s="20"/>
    </row>
    <row r="32" customFormat="false" ht="24" hidden="false" customHeight="true" outlineLevel="0" collapsed="false">
      <c r="B32" s="15"/>
      <c r="C32" s="19"/>
      <c r="D32" s="19"/>
      <c r="E32" s="19"/>
      <c r="F32" s="20"/>
      <c r="G32" s="20"/>
      <c r="H32" s="20"/>
      <c r="I32" s="20"/>
      <c r="J32" s="17"/>
      <c r="V32" s="20"/>
      <c r="W32" s="39"/>
      <c r="X32" s="20"/>
      <c r="Y32" s="20"/>
      <c r="Z32" s="20"/>
      <c r="AA32" s="20"/>
      <c r="AB32" s="20"/>
      <c r="AC32" s="20"/>
      <c r="AD32" s="20"/>
    </row>
    <row r="33" customFormat="false" ht="24" hidden="false" customHeight="true" outlineLevel="0" collapsed="false">
      <c r="B33" s="15"/>
      <c r="C33" s="19"/>
      <c r="D33" s="19"/>
      <c r="E33" s="19"/>
      <c r="F33" s="20"/>
      <c r="G33" s="20"/>
      <c r="H33" s="20"/>
      <c r="I33" s="20"/>
      <c r="J33" s="17"/>
      <c r="V33" s="20"/>
      <c r="W33" s="20"/>
      <c r="X33" s="20"/>
      <c r="Y33" s="20"/>
      <c r="Z33" s="20"/>
      <c r="AA33" s="20"/>
      <c r="AB33" s="20"/>
      <c r="AC33" s="20"/>
      <c r="AD33" s="20"/>
    </row>
    <row r="34" customFormat="false" ht="24" hidden="false" customHeight="true" outlineLevel="0" collapsed="false">
      <c r="B34" s="15"/>
      <c r="C34" s="19"/>
      <c r="D34" s="19"/>
      <c r="E34" s="19"/>
      <c r="F34" s="20"/>
      <c r="G34" s="20"/>
      <c r="H34" s="20"/>
      <c r="I34" s="20"/>
      <c r="J34" s="17"/>
      <c r="V34" s="20"/>
      <c r="W34" s="41"/>
      <c r="X34" s="42"/>
      <c r="Y34" s="34"/>
      <c r="Z34" s="19"/>
      <c r="AA34" s="19"/>
      <c r="AB34" s="20"/>
      <c r="AC34" s="20"/>
      <c r="AD34" s="20"/>
    </row>
    <row r="35" customFormat="false" ht="15" hidden="false" customHeight="false" outlineLevel="0" collapsed="false">
      <c r="B35" s="21"/>
      <c r="C35" s="22"/>
      <c r="D35" s="22"/>
      <c r="E35" s="22"/>
      <c r="F35" s="23"/>
      <c r="G35" s="23"/>
      <c r="H35" s="23"/>
      <c r="I35" s="23"/>
      <c r="J35" s="24"/>
      <c r="V35" s="20"/>
      <c r="W35" s="20"/>
      <c r="X35" s="20"/>
      <c r="Y35" s="20"/>
      <c r="Z35" s="20"/>
      <c r="AA35" s="20"/>
      <c r="AB35" s="20"/>
      <c r="AC35" s="20"/>
      <c r="AD35" s="20"/>
    </row>
    <row r="36" customFormat="false" ht="24.75" hidden="false" customHeight="true" outlineLevel="0" collapsed="false">
      <c r="B36" s="2"/>
      <c r="C36" s="43"/>
      <c r="D36" s="43"/>
    </row>
    <row r="37" customFormat="false" ht="22.5" hidden="false" customHeight="true" outlineLevel="0" collapsed="false">
      <c r="D37" s="44"/>
      <c r="E37" s="44" t="s">
        <v>23</v>
      </c>
      <c r="F37" s="44"/>
      <c r="G37" s="44"/>
      <c r="H37" s="44"/>
    </row>
    <row r="38" customFormat="false" ht="8.25" hidden="false" customHeight="true" outlineLevel="0" collapsed="false"/>
    <row r="39" customFormat="false" ht="12" hidden="false" customHeight="true" outlineLevel="0" collapsed="false">
      <c r="D39" s="11"/>
      <c r="E39" s="12"/>
      <c r="F39" s="12"/>
      <c r="G39" s="12"/>
      <c r="H39" s="13"/>
      <c r="I39" s="13"/>
      <c r="J39" s="14"/>
      <c r="V39" s="11"/>
      <c r="W39" s="13"/>
      <c r="X39" s="13"/>
      <c r="Y39" s="13"/>
      <c r="Z39" s="13"/>
      <c r="AA39" s="13"/>
      <c r="AB39" s="13"/>
      <c r="AC39" s="13"/>
      <c r="AD39" s="14"/>
    </row>
    <row r="40" customFormat="false" ht="24" hidden="false" customHeight="true" outlineLevel="0" collapsed="false">
      <c r="D40" s="15"/>
      <c r="E40" s="45"/>
      <c r="F40" s="45"/>
      <c r="G40" s="45"/>
      <c r="H40" s="45"/>
      <c r="I40" s="45"/>
      <c r="J40" s="46"/>
      <c r="V40" s="15"/>
      <c r="W40" s="31" t="s">
        <v>18</v>
      </c>
      <c r="X40" s="31"/>
      <c r="Y40" s="31"/>
      <c r="Z40" s="31"/>
      <c r="AA40" s="20"/>
      <c r="AB40" s="20"/>
      <c r="AC40" s="20"/>
      <c r="AD40" s="17"/>
    </row>
    <row r="41" customFormat="false" ht="11.25" hidden="false" customHeight="true" outlineLevel="0" collapsed="false">
      <c r="D41" s="15"/>
      <c r="E41" s="30"/>
      <c r="F41" s="30"/>
      <c r="G41" s="30"/>
      <c r="H41" s="20"/>
      <c r="I41" s="20"/>
      <c r="J41" s="17"/>
      <c r="V41" s="15"/>
      <c r="W41" s="32"/>
      <c r="X41" s="32"/>
      <c r="Y41" s="32"/>
      <c r="Z41" s="32"/>
      <c r="AA41" s="20"/>
      <c r="AB41" s="20"/>
      <c r="AC41" s="20"/>
      <c r="AD41" s="17"/>
    </row>
    <row r="42" customFormat="false" ht="24" hidden="false" customHeight="true" outlineLevel="0" collapsed="false">
      <c r="D42" s="15"/>
      <c r="E42" s="22"/>
      <c r="F42" s="19"/>
      <c r="G42" s="22"/>
      <c r="H42" s="20"/>
      <c r="I42" s="23"/>
      <c r="J42" s="17"/>
      <c r="V42" s="15"/>
      <c r="W42" s="33" t="s">
        <v>19</v>
      </c>
      <c r="X42" s="34"/>
      <c r="Y42" s="34"/>
      <c r="Z42" s="19"/>
      <c r="AA42" s="20"/>
      <c r="AB42" s="20"/>
      <c r="AC42" s="20"/>
      <c r="AD42" s="17"/>
    </row>
    <row r="43" customFormat="false" ht="24" hidden="false" customHeight="true" outlineLevel="0" collapsed="false">
      <c r="D43" s="15"/>
      <c r="E43" s="19"/>
      <c r="F43" s="19"/>
      <c r="G43" s="19"/>
      <c r="H43" s="20"/>
      <c r="I43" s="20"/>
      <c r="J43" s="17"/>
      <c r="V43" s="15"/>
      <c r="W43" s="34"/>
      <c r="X43" s="34"/>
      <c r="Y43" s="34"/>
      <c r="Z43" s="19"/>
      <c r="AA43" s="20"/>
      <c r="AB43" s="20"/>
      <c r="AC43" s="20"/>
      <c r="AD43" s="17"/>
    </row>
    <row r="44" customFormat="false" ht="24" hidden="false" customHeight="true" outlineLevel="0" collapsed="false">
      <c r="D44" s="15"/>
      <c r="E44" s="19"/>
      <c r="F44" s="19"/>
      <c r="G44" s="19"/>
      <c r="H44" s="20"/>
      <c r="I44" s="20"/>
      <c r="J44" s="17"/>
      <c r="V44" s="15"/>
      <c r="W44" s="35" t="s">
        <v>20</v>
      </c>
      <c r="X44" s="34" t="s">
        <v>10</v>
      </c>
      <c r="Y44" s="36" t="s">
        <v>24</v>
      </c>
      <c r="Z44" s="34" t="s">
        <v>10</v>
      </c>
      <c r="AA44" s="23"/>
      <c r="AB44" s="34" t="s">
        <v>10</v>
      </c>
      <c r="AC44" s="37"/>
      <c r="AD44" s="17"/>
    </row>
    <row r="45" customFormat="false" ht="24" hidden="false" customHeight="true" outlineLevel="0" collapsed="false">
      <c r="D45" s="15"/>
      <c r="E45" s="19"/>
      <c r="F45" s="19"/>
      <c r="G45" s="19"/>
      <c r="H45" s="20"/>
      <c r="I45" s="20"/>
      <c r="J45" s="17"/>
      <c r="V45" s="15"/>
      <c r="W45" s="35"/>
      <c r="X45" s="34"/>
      <c r="Y45" s="38" t="s">
        <v>25</v>
      </c>
      <c r="Z45" s="34"/>
      <c r="AA45" s="20"/>
      <c r="AB45" s="34"/>
      <c r="AC45" s="37"/>
      <c r="AD45" s="17"/>
    </row>
    <row r="46" customFormat="false" ht="24" hidden="false" customHeight="true" outlineLevel="0" collapsed="false">
      <c r="D46" s="15"/>
      <c r="E46" s="19"/>
      <c r="F46" s="19"/>
      <c r="G46" s="19"/>
      <c r="H46" s="20"/>
      <c r="I46" s="20"/>
      <c r="J46" s="17"/>
      <c r="V46" s="21"/>
      <c r="W46" s="23"/>
      <c r="X46" s="23"/>
      <c r="Y46" s="23"/>
      <c r="Z46" s="23"/>
      <c r="AA46" s="23"/>
      <c r="AB46" s="23"/>
      <c r="AC46" s="23"/>
      <c r="AD46" s="24"/>
    </row>
    <row r="47" customFormat="false" ht="24" hidden="false" customHeight="true" outlineLevel="0" collapsed="false">
      <c r="D47" s="15"/>
      <c r="E47" s="19"/>
      <c r="F47" s="19"/>
      <c r="G47" s="19"/>
      <c r="H47" s="20"/>
      <c r="I47" s="20"/>
      <c r="J47" s="17"/>
      <c r="V47" s="20"/>
      <c r="W47" s="39"/>
      <c r="X47" s="39"/>
      <c r="Y47" s="39"/>
      <c r="Z47" s="39"/>
      <c r="AA47" s="39"/>
      <c r="AB47" s="39"/>
      <c r="AC47" s="20"/>
      <c r="AD47" s="20"/>
    </row>
    <row r="48" customFormat="false" ht="24" hidden="false" customHeight="true" outlineLevel="0" collapsed="false">
      <c r="D48" s="15"/>
      <c r="E48" s="19"/>
      <c r="F48" s="19"/>
      <c r="G48" s="19"/>
      <c r="H48" s="20"/>
      <c r="I48" s="20"/>
      <c r="J48" s="17"/>
      <c r="V48" s="20"/>
      <c r="W48" s="40"/>
      <c r="X48" s="40"/>
      <c r="Y48" s="40"/>
      <c r="Z48" s="40"/>
      <c r="AA48" s="19"/>
      <c r="AB48" s="19"/>
      <c r="AC48" s="33"/>
      <c r="AD48" s="20"/>
    </row>
    <row r="49" customFormat="false" ht="24" hidden="false" customHeight="true" outlineLevel="0" collapsed="false">
      <c r="D49" s="15"/>
      <c r="E49" s="19"/>
      <c r="F49" s="19"/>
      <c r="G49" s="19"/>
      <c r="H49" s="20"/>
      <c r="I49" s="20"/>
      <c r="J49" s="17"/>
      <c r="V49" s="20"/>
      <c r="W49" s="20"/>
      <c r="X49" s="20"/>
      <c r="Y49" s="20"/>
      <c r="Z49" s="20"/>
      <c r="AA49" s="20"/>
      <c r="AB49" s="20"/>
      <c r="AC49" s="20"/>
      <c r="AD49" s="20"/>
    </row>
    <row r="50" customFormat="false" ht="24" hidden="false" customHeight="true" outlineLevel="0" collapsed="false">
      <c r="D50" s="15"/>
      <c r="E50" s="19"/>
      <c r="F50" s="19"/>
      <c r="G50" s="19"/>
      <c r="H50" s="20"/>
      <c r="I50" s="20"/>
      <c r="J50" s="17"/>
      <c r="V50" s="20"/>
      <c r="W50" s="39"/>
      <c r="X50" s="20"/>
      <c r="Y50" s="20"/>
      <c r="Z50" s="20"/>
      <c r="AA50" s="20"/>
      <c r="AB50" s="20"/>
      <c r="AC50" s="20"/>
      <c r="AD50" s="20"/>
    </row>
    <row r="51" customFormat="false" ht="24" hidden="false" customHeight="true" outlineLevel="0" collapsed="false">
      <c r="D51" s="15"/>
      <c r="E51" s="19"/>
      <c r="F51" s="19"/>
      <c r="G51" s="19"/>
      <c r="H51" s="20"/>
      <c r="I51" s="20"/>
      <c r="J51" s="17"/>
      <c r="V51" s="20"/>
      <c r="W51" s="20"/>
      <c r="X51" s="20"/>
      <c r="Y51" s="20"/>
      <c r="Z51" s="20"/>
      <c r="AA51" s="20"/>
      <c r="AB51" s="20"/>
      <c r="AC51" s="20"/>
      <c r="AD51" s="20"/>
    </row>
    <row r="52" customFormat="false" ht="24" hidden="false" customHeight="true" outlineLevel="0" collapsed="false">
      <c r="D52" s="15"/>
      <c r="E52" s="19"/>
      <c r="F52" s="19"/>
      <c r="G52" s="19"/>
      <c r="H52" s="20"/>
      <c r="I52" s="20"/>
      <c r="J52" s="17"/>
      <c r="V52" s="20"/>
      <c r="W52" s="41"/>
      <c r="X52" s="42"/>
      <c r="Y52" s="34"/>
      <c r="Z52" s="19"/>
      <c r="AA52" s="19"/>
      <c r="AB52" s="20"/>
      <c r="AC52" s="20"/>
      <c r="AD52" s="20"/>
    </row>
    <row r="53" customFormat="false" ht="15" hidden="false" customHeight="false" outlineLevel="0" collapsed="false">
      <c r="D53" s="21"/>
      <c r="E53" s="22"/>
      <c r="F53" s="22"/>
      <c r="G53" s="22"/>
      <c r="H53" s="23"/>
      <c r="I53" s="23"/>
      <c r="J53" s="24"/>
      <c r="V53" s="20"/>
      <c r="W53" s="20"/>
      <c r="X53" s="20"/>
      <c r="Y53" s="20"/>
      <c r="Z53" s="20"/>
      <c r="AA53" s="20"/>
      <c r="AB53" s="20"/>
      <c r="AC53" s="20"/>
      <c r="AD53" s="20"/>
    </row>
    <row r="54" customFormat="false" ht="13.8" hidden="false" customHeight="false" outlineLevel="0" collapsed="false">
      <c r="E54" s="43"/>
      <c r="F54" s="43"/>
      <c r="G54" s="2"/>
    </row>
  </sheetData>
  <mergeCells count="25">
    <mergeCell ref="B2:D2"/>
    <mergeCell ref="E2:L2"/>
    <mergeCell ref="B3:D3"/>
    <mergeCell ref="E3:L3"/>
    <mergeCell ref="B4:D4"/>
    <mergeCell ref="E4:J4"/>
    <mergeCell ref="C7:G7"/>
    <mergeCell ref="C13:G13"/>
    <mergeCell ref="C14:D14"/>
    <mergeCell ref="C15:D15"/>
    <mergeCell ref="C16:D16"/>
    <mergeCell ref="C19:H19"/>
    <mergeCell ref="C22:I22"/>
    <mergeCell ref="W22:Z22"/>
    <mergeCell ref="W26:W27"/>
    <mergeCell ref="X26:X27"/>
    <mergeCell ref="Z26:Z27"/>
    <mergeCell ref="AB26:AB27"/>
    <mergeCell ref="AC26:AC27"/>
    <mergeCell ref="W40:Z40"/>
    <mergeCell ref="W44:W45"/>
    <mergeCell ref="X44:X45"/>
    <mergeCell ref="Z44:Z45"/>
    <mergeCell ref="AB44:AB45"/>
    <mergeCell ref="AC44:AC4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D54"/>
  <sheetViews>
    <sheetView showFormulas="false" showGridLines="true" showRowColHeaders="true" showZeros="true" rightToLeft="false" tabSelected="true" showOutlineSymbols="true" defaultGridColor="true" view="normal" topLeftCell="A14" colorId="64" zoomScale="110" zoomScaleNormal="110" zoomScalePageLayoutView="100" workbookViewId="0">
      <selection pane="topLeft" activeCell="U37" activeCellId="0" sqref="U3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.57"/>
    <col collapsed="false" customWidth="true" hidden="false" outlineLevel="0" max="3" min="3" style="2" width="10"/>
    <col collapsed="false" customWidth="true" hidden="false" outlineLevel="0" max="4" min="4" style="2" width="3.57"/>
    <col collapsed="false" customWidth="true" hidden="false" outlineLevel="0" max="5" min="5" style="2" width="10"/>
    <col collapsed="false" customWidth="true" hidden="false" outlineLevel="0" max="6" min="6" style="1" width="3.57"/>
    <col collapsed="false" customWidth="true" hidden="false" outlineLevel="0" max="7" min="7" style="1" width="10"/>
    <col collapsed="false" customWidth="true" hidden="false" outlineLevel="0" max="8" min="8" style="1" width="3.57"/>
    <col collapsed="false" customWidth="true" hidden="false" outlineLevel="0" max="9" min="9" style="1" width="10"/>
    <col collapsed="false" customWidth="true" hidden="false" outlineLevel="0" max="10" min="10" style="1" width="3.57"/>
    <col collapsed="false" customWidth="true" hidden="false" outlineLevel="0" max="21" min="13" style="1" width="8.29"/>
    <col collapsed="false" customWidth="true" hidden="false" outlineLevel="0" max="22" min="22" style="1" width="2.29"/>
    <col collapsed="false" customWidth="true" hidden="false" outlineLevel="0" max="23" min="23" style="1" width="7.42"/>
    <col collapsed="false" customWidth="true" hidden="false" outlineLevel="0" max="24" min="24" style="1" width="3.57"/>
    <col collapsed="false" customWidth="true" hidden="false" outlineLevel="0" max="25" min="25" style="1" width="11.57"/>
    <col collapsed="false" customWidth="true" hidden="false" outlineLevel="0" max="26" min="26" style="1" width="3.57"/>
    <col collapsed="false" customWidth="true" hidden="false" outlineLevel="0" max="27" min="27" style="1" width="37"/>
    <col collapsed="false" customWidth="true" hidden="false" outlineLevel="0" max="28" min="28" style="1" width="3.57"/>
    <col collapsed="false" customWidth="true" hidden="false" outlineLevel="0" max="30" min="30" style="1" width="2.29"/>
  </cols>
  <sheetData>
    <row r="1" customFormat="false" ht="15" hidden="false" customHeight="false" outlineLevel="0" collapsed="false"/>
    <row r="2" customFormat="false" ht="30.75" hidden="false" customHeight="true" outlineLevel="0" collapsed="false">
      <c r="B2" s="3" t="s">
        <v>0</v>
      </c>
      <c r="C2" s="3"/>
      <c r="D2" s="3"/>
      <c r="E2" s="4"/>
      <c r="F2" s="4"/>
      <c r="G2" s="4"/>
      <c r="H2" s="4"/>
      <c r="I2" s="4"/>
      <c r="J2" s="4"/>
      <c r="K2" s="4"/>
      <c r="L2" s="4"/>
    </row>
    <row r="3" customFormat="false" ht="30.75" hidden="false" customHeight="true" outlineLevel="0" collapsed="false">
      <c r="B3" s="5" t="s">
        <v>2</v>
      </c>
      <c r="C3" s="5"/>
      <c r="D3" s="5"/>
      <c r="E3" s="6"/>
      <c r="F3" s="6"/>
      <c r="G3" s="6"/>
      <c r="H3" s="6"/>
      <c r="I3" s="6"/>
      <c r="J3" s="6"/>
      <c r="K3" s="6"/>
      <c r="L3" s="6"/>
    </row>
    <row r="4" customFormat="false" ht="30.75" hidden="false" customHeight="true" outlineLevel="0" collapsed="false">
      <c r="B4" s="7" t="s">
        <v>4</v>
      </c>
      <c r="C4" s="7"/>
      <c r="D4" s="7"/>
      <c r="E4" s="8"/>
      <c r="F4" s="8"/>
      <c r="G4" s="8"/>
      <c r="H4" s="8"/>
      <c r="I4" s="8"/>
      <c r="J4" s="8"/>
      <c r="K4" s="9" t="s">
        <v>6</v>
      </c>
      <c r="L4" s="10"/>
    </row>
    <row r="5" customFormat="false" ht="15" hidden="false" customHeight="false" outlineLevel="0" collapsed="false"/>
    <row r="6" customFormat="false" ht="12" hidden="false" customHeight="true" outlineLevel="0" collapsed="false">
      <c r="B6" s="11"/>
      <c r="C6" s="12"/>
      <c r="D6" s="12"/>
      <c r="E6" s="12"/>
      <c r="F6" s="13"/>
      <c r="G6" s="13"/>
      <c r="H6" s="14"/>
    </row>
    <row r="7" customFormat="false" ht="18.75" hidden="false" customHeight="true" outlineLevel="0" collapsed="false">
      <c r="B7" s="15"/>
      <c r="C7" s="16" t="s">
        <v>8</v>
      </c>
      <c r="D7" s="16"/>
      <c r="E7" s="16"/>
      <c r="F7" s="16"/>
      <c r="G7" s="16"/>
      <c r="H7" s="17"/>
    </row>
    <row r="8" customFormat="false" ht="21.75" hidden="false" customHeight="true" outlineLevel="0" collapsed="false">
      <c r="B8" s="15"/>
      <c r="C8" s="18" t="s">
        <v>9</v>
      </c>
      <c r="D8" s="19" t="s">
        <v>10</v>
      </c>
      <c r="E8" s="19" t="n">
        <f aca="false">25.5/100</f>
        <v>0.255</v>
      </c>
      <c r="F8" s="20"/>
      <c r="G8" s="20" t="n">
        <v>0.255</v>
      </c>
      <c r="H8" s="17"/>
    </row>
    <row r="9" customFormat="false" ht="21.75" hidden="false" customHeight="true" outlineLevel="0" collapsed="false">
      <c r="B9" s="15"/>
      <c r="C9" s="18" t="s">
        <v>11</v>
      </c>
      <c r="D9" s="19" t="s">
        <v>10</v>
      </c>
      <c r="E9" s="19" t="n">
        <f aca="false">10.2/100</f>
        <v>0.102</v>
      </c>
      <c r="F9" s="20"/>
      <c r="G9" s="20" t="n">
        <v>0.101</v>
      </c>
      <c r="H9" s="17"/>
    </row>
    <row r="10" customFormat="false" ht="12" hidden="false" customHeight="true" outlineLevel="0" collapsed="false">
      <c r="B10" s="21"/>
      <c r="C10" s="22"/>
      <c r="D10" s="22"/>
      <c r="E10" s="22"/>
      <c r="F10" s="23"/>
      <c r="G10" s="23"/>
      <c r="H10" s="24"/>
    </row>
    <row r="11" customFormat="false" ht="18.75" hidden="false" customHeight="true" outlineLevel="0" collapsed="false"/>
    <row r="12" customFormat="false" ht="12" hidden="false" customHeight="true" outlineLevel="0" collapsed="false">
      <c r="B12" s="11"/>
      <c r="C12" s="12"/>
      <c r="D12" s="12"/>
      <c r="E12" s="12"/>
      <c r="F12" s="13"/>
      <c r="G12" s="14"/>
      <c r="H12" s="20"/>
    </row>
    <row r="13" customFormat="false" ht="23.25" hidden="false" customHeight="true" outlineLevel="0" collapsed="false">
      <c r="B13" s="15"/>
      <c r="C13" s="25" t="s">
        <v>26</v>
      </c>
      <c r="D13" s="25"/>
      <c r="E13" s="25"/>
      <c r="F13" s="25"/>
      <c r="G13" s="25"/>
      <c r="H13" s="20"/>
    </row>
    <row r="14" customFormat="false" ht="23.25" hidden="false" customHeight="true" outlineLevel="0" collapsed="false">
      <c r="B14" s="15"/>
      <c r="C14" s="26" t="s">
        <v>13</v>
      </c>
      <c r="D14" s="26"/>
      <c r="E14" s="19" t="n">
        <v>20</v>
      </c>
      <c r="F14" s="27"/>
      <c r="G14" s="28"/>
      <c r="H14" s="20"/>
    </row>
    <row r="15" customFormat="false" ht="23.25" hidden="false" customHeight="true" outlineLevel="0" collapsed="false">
      <c r="B15" s="15"/>
      <c r="C15" s="26" t="s">
        <v>14</v>
      </c>
      <c r="D15" s="26"/>
      <c r="E15" s="47" t="n">
        <v>3.7</v>
      </c>
      <c r="F15" s="27" t="s">
        <v>15</v>
      </c>
      <c r="G15" s="28"/>
      <c r="H15" s="20"/>
    </row>
    <row r="16" customFormat="false" ht="23.25" hidden="false" customHeight="true" outlineLevel="0" collapsed="false">
      <c r="B16" s="15"/>
      <c r="C16" s="26" t="s">
        <v>16</v>
      </c>
      <c r="D16" s="26"/>
      <c r="E16" s="19" t="n">
        <f aca="false">E15/E14</f>
        <v>0.185</v>
      </c>
      <c r="F16" s="27" t="s">
        <v>15</v>
      </c>
      <c r="G16" s="28"/>
      <c r="H16" s="20"/>
    </row>
    <row r="17" customFormat="false" ht="15" hidden="false" customHeight="false" outlineLevel="0" collapsed="false">
      <c r="B17" s="21"/>
      <c r="C17" s="22"/>
      <c r="D17" s="22"/>
      <c r="E17" s="22"/>
      <c r="F17" s="23"/>
      <c r="G17" s="24"/>
      <c r="H17" s="20"/>
    </row>
    <row r="18" customFormat="false" ht="26.25" hidden="false" customHeight="true" outlineLevel="0" collapsed="false"/>
    <row r="19" customFormat="false" ht="22.5" hidden="false" customHeight="true" outlineLevel="0" collapsed="false">
      <c r="C19" s="29" t="s">
        <v>17</v>
      </c>
      <c r="D19" s="29"/>
      <c r="E19" s="29"/>
      <c r="F19" s="29"/>
      <c r="G19" s="29"/>
      <c r="H19" s="29"/>
    </row>
    <row r="20" customFormat="false" ht="8.25" hidden="false" customHeight="true" outlineLevel="0" collapsed="false"/>
    <row r="21" customFormat="false" ht="12" hidden="false" customHeight="true" outlineLevel="0" collapsed="false">
      <c r="B21" s="11"/>
      <c r="C21" s="12"/>
      <c r="D21" s="12"/>
      <c r="E21" s="12"/>
      <c r="F21" s="13"/>
      <c r="G21" s="13"/>
      <c r="H21" s="13"/>
      <c r="I21" s="13"/>
      <c r="J21" s="14"/>
      <c r="V21" s="11"/>
      <c r="W21" s="13"/>
      <c r="X21" s="13"/>
      <c r="Y21" s="13"/>
      <c r="Z21" s="13"/>
      <c r="AA21" s="13"/>
      <c r="AB21" s="13"/>
      <c r="AC21" s="13"/>
      <c r="AD21" s="14"/>
    </row>
    <row r="22" customFormat="false" ht="24" hidden="false" customHeight="true" outlineLevel="0" collapsed="false">
      <c r="B22" s="15"/>
      <c r="C22" s="30" t="s">
        <v>27</v>
      </c>
      <c r="D22" s="30"/>
      <c r="E22" s="30"/>
      <c r="F22" s="30"/>
      <c r="G22" s="30"/>
      <c r="H22" s="30"/>
      <c r="I22" s="30"/>
      <c r="J22" s="17"/>
      <c r="V22" s="15"/>
      <c r="W22" s="31" t="s">
        <v>18</v>
      </c>
      <c r="X22" s="31"/>
      <c r="Y22" s="31"/>
      <c r="Z22" s="31"/>
      <c r="AA22" s="20"/>
      <c r="AB22" s="20"/>
      <c r="AC22" s="20"/>
      <c r="AD22" s="17"/>
    </row>
    <row r="23" customFormat="false" ht="11.25" hidden="false" customHeight="true" outlineLevel="0" collapsed="false">
      <c r="B23" s="15"/>
      <c r="C23" s="30"/>
      <c r="D23" s="30"/>
      <c r="E23" s="30"/>
      <c r="F23" s="20"/>
      <c r="G23" s="20"/>
      <c r="H23" s="20"/>
      <c r="I23" s="20"/>
      <c r="J23" s="17"/>
      <c r="V23" s="15"/>
      <c r="W23" s="32"/>
      <c r="X23" s="32"/>
      <c r="Y23" s="32"/>
      <c r="Z23" s="32"/>
      <c r="AA23" s="20"/>
      <c r="AB23" s="20"/>
      <c r="AC23" s="20"/>
      <c r="AD23" s="17"/>
    </row>
    <row r="24" customFormat="false" ht="24" hidden="false" customHeight="true" outlineLevel="0" collapsed="false">
      <c r="B24" s="15"/>
      <c r="C24" s="22" t="s">
        <v>28</v>
      </c>
      <c r="D24" s="19"/>
      <c r="E24" s="22" t="s">
        <v>29</v>
      </c>
      <c r="F24" s="20"/>
      <c r="G24" s="23" t="s">
        <v>30</v>
      </c>
      <c r="H24" s="20"/>
      <c r="I24" s="23" t="s">
        <v>31</v>
      </c>
      <c r="J24" s="17"/>
      <c r="V24" s="15"/>
      <c r="W24" s="33" t="s">
        <v>19</v>
      </c>
      <c r="X24" s="34"/>
      <c r="Y24" s="34"/>
      <c r="Z24" s="19"/>
      <c r="AA24" s="20"/>
      <c r="AB24" s="20"/>
      <c r="AC24" s="20"/>
      <c r="AD24" s="17"/>
    </row>
    <row r="25" customFormat="false" ht="24" hidden="false" customHeight="true" outlineLevel="0" collapsed="false">
      <c r="B25" s="15"/>
      <c r="C25" s="19" t="n">
        <v>1</v>
      </c>
      <c r="D25" s="19"/>
      <c r="E25" s="19" t="n">
        <f aca="false">C25*$E$16</f>
        <v>0.185</v>
      </c>
      <c r="F25" s="20"/>
      <c r="G25" s="20" t="n">
        <f aca="false">1000/E25</f>
        <v>5405.40540540541</v>
      </c>
      <c r="H25" s="20"/>
      <c r="I25" s="20" t="n">
        <v>1868</v>
      </c>
      <c r="J25" s="17"/>
      <c r="V25" s="15"/>
      <c r="W25" s="34"/>
      <c r="X25" s="34"/>
      <c r="Y25" s="34"/>
      <c r="Z25" s="19"/>
      <c r="AA25" s="20"/>
      <c r="AB25" s="20"/>
      <c r="AC25" s="20"/>
      <c r="AD25" s="17"/>
    </row>
    <row r="26" customFormat="false" ht="24" hidden="false" customHeight="true" outlineLevel="0" collapsed="false">
      <c r="B26" s="15"/>
      <c r="C26" s="19" t="n">
        <v>2</v>
      </c>
      <c r="D26" s="19"/>
      <c r="E26" s="19" t="n">
        <f aca="false">C26*$E$16</f>
        <v>0.37</v>
      </c>
      <c r="F26" s="20"/>
      <c r="G26" s="20" t="n">
        <f aca="false">1000/E26</f>
        <v>2702.7027027027</v>
      </c>
      <c r="H26" s="20"/>
      <c r="I26" s="20" t="n">
        <f aca="false">1.23*1000</f>
        <v>1230</v>
      </c>
      <c r="J26" s="17"/>
      <c r="V26" s="15"/>
      <c r="W26" s="35" t="s">
        <v>20</v>
      </c>
      <c r="X26" s="34" t="s">
        <v>10</v>
      </c>
      <c r="Y26" s="36" t="s">
        <v>21</v>
      </c>
      <c r="Z26" s="34" t="s">
        <v>10</v>
      </c>
      <c r="AA26" s="23" t="n">
        <v>0.333</v>
      </c>
      <c r="AB26" s="34" t="s">
        <v>10</v>
      </c>
      <c r="AC26" s="37" t="n">
        <f aca="false">0.333/(8.854 * 0.255 * 0.102)</f>
        <v>1.44598691733566</v>
      </c>
      <c r="AD26" s="17"/>
    </row>
    <row r="27" customFormat="false" ht="24" hidden="false" customHeight="true" outlineLevel="0" collapsed="false">
      <c r="B27" s="15"/>
      <c r="C27" s="19" t="n">
        <v>3</v>
      </c>
      <c r="D27" s="19"/>
      <c r="E27" s="19" t="n">
        <f aca="false">C27*$E$16</f>
        <v>0.555</v>
      </c>
      <c r="F27" s="20"/>
      <c r="G27" s="20" t="n">
        <f aca="false">1000/E27</f>
        <v>1801.8018018018</v>
      </c>
      <c r="H27" s="20"/>
      <c r="I27" s="20" t="n">
        <f aca="false">0.81*1000</f>
        <v>810</v>
      </c>
      <c r="J27" s="17"/>
      <c r="V27" s="15"/>
      <c r="W27" s="35"/>
      <c r="X27" s="34"/>
      <c r="Y27" s="38" t="s">
        <v>22</v>
      </c>
      <c r="Z27" s="34"/>
      <c r="AA27" s="23" t="s">
        <v>32</v>
      </c>
      <c r="AB27" s="34"/>
      <c r="AC27" s="37"/>
      <c r="AD27" s="17"/>
    </row>
    <row r="28" customFormat="false" ht="24" hidden="false" customHeight="true" outlineLevel="0" collapsed="false">
      <c r="B28" s="15"/>
      <c r="C28" s="19" t="n">
        <v>4</v>
      </c>
      <c r="D28" s="19"/>
      <c r="E28" s="19" t="n">
        <f aca="false">C28*$E$16</f>
        <v>0.74</v>
      </c>
      <c r="F28" s="20"/>
      <c r="G28" s="20" t="n">
        <f aca="false">1000/E28</f>
        <v>1351.35135135135</v>
      </c>
      <c r="H28" s="20"/>
      <c r="I28" s="20" t="n">
        <f aca="false">0.68*1000</f>
        <v>680</v>
      </c>
      <c r="J28" s="17"/>
      <c r="V28" s="21"/>
      <c r="W28" s="23"/>
      <c r="X28" s="23"/>
      <c r="Y28" s="23"/>
      <c r="Z28" s="23"/>
      <c r="AA28" s="23"/>
      <c r="AB28" s="23"/>
      <c r="AC28" s="23"/>
      <c r="AD28" s="24"/>
    </row>
    <row r="29" customFormat="false" ht="24" hidden="false" customHeight="true" outlineLevel="0" collapsed="false">
      <c r="B29" s="15"/>
      <c r="C29" s="19" t="n">
        <v>5</v>
      </c>
      <c r="D29" s="19"/>
      <c r="E29" s="19" t="n">
        <f aca="false">C29*$E$16</f>
        <v>0.925</v>
      </c>
      <c r="F29" s="20"/>
      <c r="G29" s="20" t="n">
        <f aca="false">1000/E29</f>
        <v>1081.08108108108</v>
      </c>
      <c r="H29" s="20"/>
      <c r="I29" s="20" t="n">
        <f aca="false">0.52*1000</f>
        <v>520</v>
      </c>
      <c r="J29" s="17"/>
      <c r="V29" s="20"/>
      <c r="W29" s="39"/>
      <c r="X29" s="39"/>
      <c r="Y29" s="39"/>
      <c r="Z29" s="39"/>
      <c r="AA29" s="39"/>
      <c r="AB29" s="39"/>
      <c r="AC29" s="20"/>
      <c r="AD29" s="20"/>
    </row>
    <row r="30" customFormat="false" ht="24" hidden="false" customHeight="true" outlineLevel="0" collapsed="false">
      <c r="B30" s="15"/>
      <c r="C30" s="19" t="n">
        <v>6</v>
      </c>
      <c r="D30" s="19"/>
      <c r="E30" s="19" t="n">
        <f aca="false">C30*$E$16</f>
        <v>1.11</v>
      </c>
      <c r="F30" s="20"/>
      <c r="G30" s="20" t="n">
        <f aca="false">1000/E30</f>
        <v>900.900900900901</v>
      </c>
      <c r="H30" s="20"/>
      <c r="I30" s="20" t="n">
        <f aca="false">0.45*1000</f>
        <v>450</v>
      </c>
      <c r="J30" s="17"/>
      <c r="V30" s="20"/>
      <c r="W30" s="40"/>
      <c r="X30" s="40"/>
      <c r="Y30" s="40"/>
      <c r="Z30" s="40"/>
      <c r="AA30" s="19"/>
      <c r="AB30" s="19"/>
      <c r="AC30" s="33"/>
      <c r="AD30" s="20"/>
    </row>
    <row r="31" customFormat="false" ht="24" hidden="false" customHeight="true" outlineLevel="0" collapsed="false">
      <c r="B31" s="15"/>
      <c r="C31" s="19" t="n">
        <v>7</v>
      </c>
      <c r="D31" s="19"/>
      <c r="E31" s="19" t="n">
        <f aca="false">C31*$E$16</f>
        <v>1.295</v>
      </c>
      <c r="F31" s="20"/>
      <c r="G31" s="20" t="n">
        <f aca="false">1000/E31</f>
        <v>772.200772200772</v>
      </c>
      <c r="H31" s="20"/>
      <c r="I31" s="20" t="n">
        <f aca="false">0.38*1000</f>
        <v>380</v>
      </c>
      <c r="J31" s="17"/>
      <c r="V31" s="20"/>
      <c r="W31" s="20"/>
      <c r="X31" s="20"/>
      <c r="Y31" s="20"/>
      <c r="Z31" s="20"/>
      <c r="AA31" s="20"/>
      <c r="AB31" s="20"/>
      <c r="AC31" s="20"/>
      <c r="AD31" s="20"/>
    </row>
    <row r="32" customFormat="false" ht="24" hidden="false" customHeight="true" outlineLevel="0" collapsed="false">
      <c r="B32" s="15"/>
      <c r="C32" s="19" t="n">
        <v>8</v>
      </c>
      <c r="D32" s="19"/>
      <c r="E32" s="19" t="n">
        <f aca="false">C32*$E$16</f>
        <v>1.48</v>
      </c>
      <c r="F32" s="20"/>
      <c r="G32" s="20" t="n">
        <f aca="false">1000/E32</f>
        <v>675.675675675676</v>
      </c>
      <c r="H32" s="20"/>
      <c r="I32" s="20" t="n">
        <f aca="false">0.35*1000</f>
        <v>350</v>
      </c>
      <c r="J32" s="17"/>
      <c r="V32" s="20"/>
      <c r="W32" s="39"/>
      <c r="X32" s="20"/>
      <c r="Y32" s="20"/>
      <c r="Z32" s="20"/>
      <c r="AA32" s="20"/>
      <c r="AB32" s="20"/>
      <c r="AC32" s="20"/>
      <c r="AD32" s="20"/>
    </row>
    <row r="33" customFormat="false" ht="24" hidden="false" customHeight="true" outlineLevel="0" collapsed="false">
      <c r="B33" s="15"/>
      <c r="C33" s="19" t="n">
        <v>9</v>
      </c>
      <c r="D33" s="19"/>
      <c r="E33" s="19" t="n">
        <f aca="false">C33*$E$16</f>
        <v>1.665</v>
      </c>
      <c r="F33" s="20"/>
      <c r="G33" s="20" t="n">
        <f aca="false">1000/E33</f>
        <v>600.600600600601</v>
      </c>
      <c r="H33" s="20"/>
      <c r="I33" s="20" t="n">
        <f aca="false">0.31*1000</f>
        <v>310</v>
      </c>
      <c r="J33" s="17"/>
      <c r="V33" s="20"/>
      <c r="W33" s="20"/>
      <c r="X33" s="20"/>
      <c r="Y33" s="20"/>
      <c r="Z33" s="20"/>
      <c r="AA33" s="20"/>
      <c r="AB33" s="20"/>
      <c r="AC33" s="20"/>
      <c r="AD33" s="20"/>
    </row>
    <row r="34" customFormat="false" ht="24" hidden="false" customHeight="true" outlineLevel="0" collapsed="false">
      <c r="B34" s="15"/>
      <c r="C34" s="19" t="n">
        <v>10</v>
      </c>
      <c r="D34" s="19"/>
      <c r="E34" s="19" t="n">
        <f aca="false">C34*$E$16</f>
        <v>1.85</v>
      </c>
      <c r="F34" s="20"/>
      <c r="G34" s="20" t="n">
        <f aca="false">1000/E34</f>
        <v>540.540540540541</v>
      </c>
      <c r="H34" s="20"/>
      <c r="I34" s="20" t="n">
        <f aca="false">0.29*1000</f>
        <v>290</v>
      </c>
      <c r="J34" s="17"/>
      <c r="V34" s="20"/>
      <c r="W34" s="41"/>
      <c r="X34" s="42"/>
      <c r="Y34" s="34"/>
      <c r="Z34" s="19"/>
      <c r="AA34" s="19"/>
      <c r="AB34" s="20"/>
      <c r="AC34" s="20"/>
      <c r="AD34" s="20"/>
    </row>
    <row r="35" customFormat="false" ht="15" hidden="false" customHeight="false" outlineLevel="0" collapsed="false">
      <c r="B35" s="21"/>
      <c r="C35" s="22"/>
      <c r="D35" s="22"/>
      <c r="E35" s="22"/>
      <c r="F35" s="23"/>
      <c r="G35" s="23"/>
      <c r="H35" s="23"/>
      <c r="I35" s="23"/>
      <c r="J35" s="24"/>
      <c r="V35" s="20"/>
      <c r="W35" s="20"/>
      <c r="X35" s="20"/>
      <c r="Y35" s="20"/>
      <c r="Z35" s="20"/>
      <c r="AA35" s="20"/>
      <c r="AB35" s="20"/>
      <c r="AC35" s="20"/>
      <c r="AD35" s="20"/>
    </row>
    <row r="36" customFormat="false" ht="24.75" hidden="false" customHeight="true" outlineLevel="0" collapsed="false">
      <c r="B36" s="2"/>
      <c r="C36" s="43"/>
      <c r="D36" s="43"/>
    </row>
    <row r="37" customFormat="false" ht="22.5" hidden="false" customHeight="true" outlineLevel="0" collapsed="false">
      <c r="D37" s="44"/>
      <c r="E37" s="44" t="s">
        <v>23</v>
      </c>
      <c r="F37" s="44"/>
      <c r="G37" s="44"/>
      <c r="H37" s="44"/>
    </row>
    <row r="38" customFormat="false" ht="8.25" hidden="false" customHeight="true" outlineLevel="0" collapsed="false"/>
    <row r="39" customFormat="false" ht="12" hidden="false" customHeight="true" outlineLevel="0" collapsed="false">
      <c r="D39" s="11"/>
      <c r="E39" s="12"/>
      <c r="F39" s="12"/>
      <c r="G39" s="12"/>
      <c r="H39" s="13"/>
      <c r="I39" s="13"/>
      <c r="J39" s="14"/>
      <c r="V39" s="11"/>
      <c r="W39" s="13"/>
      <c r="X39" s="13"/>
      <c r="Y39" s="13"/>
      <c r="Z39" s="13"/>
      <c r="AA39" s="13"/>
      <c r="AB39" s="13"/>
      <c r="AC39" s="13"/>
      <c r="AD39" s="14"/>
    </row>
    <row r="40" customFormat="false" ht="24" hidden="false" customHeight="true" outlineLevel="0" collapsed="false">
      <c r="D40" s="15"/>
      <c r="E40" s="45"/>
      <c r="F40" s="45"/>
      <c r="G40" s="45"/>
      <c r="H40" s="45"/>
      <c r="I40" s="45"/>
      <c r="J40" s="46"/>
      <c r="V40" s="15"/>
      <c r="W40" s="31" t="s">
        <v>18</v>
      </c>
      <c r="X40" s="31"/>
      <c r="Y40" s="31"/>
      <c r="Z40" s="31"/>
      <c r="AA40" s="20"/>
      <c r="AB40" s="20"/>
      <c r="AC40" s="20"/>
      <c r="AD40" s="17"/>
    </row>
    <row r="41" customFormat="false" ht="11.25" hidden="false" customHeight="true" outlineLevel="0" collapsed="false">
      <c r="D41" s="15"/>
      <c r="E41" s="30"/>
      <c r="F41" s="30"/>
      <c r="G41" s="30"/>
      <c r="H41" s="20"/>
      <c r="I41" s="20"/>
      <c r="J41" s="17"/>
      <c r="V41" s="15"/>
      <c r="W41" s="32"/>
      <c r="X41" s="32"/>
      <c r="Y41" s="32"/>
      <c r="Z41" s="32"/>
      <c r="AA41" s="20"/>
      <c r="AB41" s="20"/>
      <c r="AC41" s="20"/>
      <c r="AD41" s="17"/>
    </row>
    <row r="42" customFormat="false" ht="24" hidden="false" customHeight="true" outlineLevel="0" collapsed="false">
      <c r="C42" s="0"/>
      <c r="D42" s="15"/>
      <c r="E42" s="22" t="s">
        <v>33</v>
      </c>
      <c r="F42" s="19"/>
      <c r="G42" s="22" t="s">
        <v>34</v>
      </c>
      <c r="H42" s="20"/>
      <c r="I42" s="23" t="s">
        <v>31</v>
      </c>
      <c r="J42" s="17"/>
      <c r="V42" s="15"/>
      <c r="W42" s="33" t="s">
        <v>19</v>
      </c>
      <c r="X42" s="34"/>
      <c r="Y42" s="34"/>
      <c r="Z42" s="19"/>
      <c r="AA42" s="20"/>
      <c r="AB42" s="20"/>
      <c r="AC42" s="20"/>
      <c r="AD42" s="17"/>
    </row>
    <row r="43" customFormat="false" ht="24" hidden="false" customHeight="true" outlineLevel="0" collapsed="false">
      <c r="C43" s="0"/>
      <c r="D43" s="15"/>
      <c r="E43" s="19" t="n">
        <f aca="false">$E$16*2</f>
        <v>0.37</v>
      </c>
      <c r="F43" s="19"/>
      <c r="G43" s="19" t="n">
        <f aca="false">($E$8-((ROW(G43) - 44) + 3)/100)</f>
        <v>0.235</v>
      </c>
      <c r="H43" s="20"/>
      <c r="I43" s="20" t="n">
        <f aca="false">2.76*1000</f>
        <v>2760</v>
      </c>
      <c r="J43" s="17"/>
      <c r="V43" s="15"/>
      <c r="W43" s="34"/>
      <c r="X43" s="34"/>
      <c r="Y43" s="34"/>
      <c r="Z43" s="19"/>
      <c r="AA43" s="20"/>
      <c r="AB43" s="20"/>
      <c r="AC43" s="20"/>
      <c r="AD43" s="17"/>
    </row>
    <row r="44" customFormat="false" ht="24" hidden="false" customHeight="true" outlineLevel="0" collapsed="false">
      <c r="C44" s="0"/>
      <c r="D44" s="15"/>
      <c r="E44" s="19" t="n">
        <f aca="false">$E$16*2</f>
        <v>0.37</v>
      </c>
      <c r="F44" s="19"/>
      <c r="G44" s="19" t="n">
        <f aca="false">($E$8-((ROW(G44) - 44) + 3)/100)</f>
        <v>0.225</v>
      </c>
      <c r="H44" s="20"/>
      <c r="I44" s="1" t="n">
        <f aca="false">2.68*1000</f>
        <v>2680</v>
      </c>
      <c r="J44" s="17"/>
      <c r="V44" s="15"/>
      <c r="W44" s="35" t="s">
        <v>20</v>
      </c>
      <c r="X44" s="34" t="s">
        <v>10</v>
      </c>
      <c r="Y44" s="36" t="s">
        <v>24</v>
      </c>
      <c r="Z44" s="34" t="s">
        <v>10</v>
      </c>
      <c r="AA44" s="23" t="s">
        <v>35</v>
      </c>
      <c r="AB44" s="34" t="s">
        <v>10</v>
      </c>
      <c r="AC44" s="37" t="n">
        <f aca="false">(E43/1000)*SLOPE(I43:I52,G43:G52)/(8.854 * 0.255)</f>
        <v>2.1343935374151</v>
      </c>
      <c r="AD44" s="17"/>
    </row>
    <row r="45" customFormat="false" ht="24" hidden="false" customHeight="true" outlineLevel="0" collapsed="false">
      <c r="C45" s="0"/>
      <c r="D45" s="15"/>
      <c r="E45" s="19" t="n">
        <f aca="false">$E$16*2</f>
        <v>0.37</v>
      </c>
      <c r="F45" s="19"/>
      <c r="G45" s="19" t="n">
        <f aca="false">($E$8-((ROW(G45) - 44) + 3)/100)</f>
        <v>0.215</v>
      </c>
      <c r="H45" s="20"/>
      <c r="I45" s="20" t="n">
        <f aca="false">2.41*1000</f>
        <v>2410</v>
      </c>
      <c r="J45" s="17"/>
      <c r="V45" s="15"/>
      <c r="W45" s="35"/>
      <c r="X45" s="34"/>
      <c r="Y45" s="38" t="s">
        <v>25</v>
      </c>
      <c r="Z45" s="34"/>
      <c r="AA45" s="20" t="s">
        <v>36</v>
      </c>
      <c r="AB45" s="34"/>
      <c r="AC45" s="37"/>
      <c r="AD45" s="17"/>
    </row>
    <row r="46" customFormat="false" ht="24" hidden="false" customHeight="true" outlineLevel="0" collapsed="false">
      <c r="C46" s="0"/>
      <c r="D46" s="15"/>
      <c r="E46" s="19" t="n">
        <f aca="false">$E$16*2</f>
        <v>0.37</v>
      </c>
      <c r="F46" s="19"/>
      <c r="G46" s="19" t="n">
        <f aca="false">($E$8-((ROW(G46) - 44) + 3)/100)</f>
        <v>0.205</v>
      </c>
      <c r="H46" s="20"/>
      <c r="I46" s="1" t="n">
        <f aca="false">2.45*1000</f>
        <v>2450</v>
      </c>
      <c r="J46" s="17"/>
      <c r="V46" s="21"/>
      <c r="W46" s="23"/>
      <c r="X46" s="23"/>
      <c r="Y46" s="23"/>
      <c r="Z46" s="23"/>
      <c r="AA46" s="23"/>
      <c r="AB46" s="23"/>
      <c r="AC46" s="23"/>
      <c r="AD46" s="24"/>
    </row>
    <row r="47" customFormat="false" ht="24" hidden="false" customHeight="true" outlineLevel="0" collapsed="false">
      <c r="C47" s="0"/>
      <c r="D47" s="15"/>
      <c r="E47" s="19" t="n">
        <f aca="false">$E$16*2</f>
        <v>0.37</v>
      </c>
      <c r="F47" s="19"/>
      <c r="G47" s="19" t="n">
        <f aca="false">($E$8-((ROW(G47) - 44) + 3)/100)</f>
        <v>0.195</v>
      </c>
      <c r="H47" s="20"/>
      <c r="I47" s="20" t="n">
        <f aca="false">2.27*1000</f>
        <v>2270</v>
      </c>
      <c r="J47" s="17"/>
      <c r="V47" s="20"/>
      <c r="W47" s="39"/>
      <c r="X47" s="39"/>
      <c r="Y47" s="39"/>
      <c r="Z47" s="39"/>
      <c r="AA47" s="39"/>
      <c r="AB47" s="39"/>
      <c r="AC47" s="20"/>
      <c r="AD47" s="20"/>
    </row>
    <row r="48" customFormat="false" ht="24" hidden="false" customHeight="true" outlineLevel="0" collapsed="false">
      <c r="C48" s="0"/>
      <c r="D48" s="15"/>
      <c r="E48" s="19" t="n">
        <f aca="false">$E$16*2</f>
        <v>0.37</v>
      </c>
      <c r="F48" s="19"/>
      <c r="G48" s="19" t="n">
        <f aca="false">($E$8-((ROW(G48) - 44) + 3)/100)</f>
        <v>0.185</v>
      </c>
      <c r="H48" s="20"/>
      <c r="I48" s="1" t="n">
        <f aca="false">2.2*1000</f>
        <v>2200</v>
      </c>
      <c r="J48" s="17"/>
      <c r="V48" s="20"/>
      <c r="W48" s="40"/>
      <c r="X48" s="40"/>
      <c r="Y48" s="40"/>
      <c r="Z48" s="40"/>
      <c r="AA48" s="19"/>
      <c r="AB48" s="19"/>
      <c r="AC48" s="33"/>
      <c r="AD48" s="20"/>
    </row>
    <row r="49" customFormat="false" ht="24" hidden="false" customHeight="true" outlineLevel="0" collapsed="false">
      <c r="C49" s="0"/>
      <c r="D49" s="15"/>
      <c r="E49" s="19" t="n">
        <f aca="false">$E$16*2</f>
        <v>0.37</v>
      </c>
      <c r="F49" s="19"/>
      <c r="G49" s="19" t="n">
        <f aca="false">($E$8-((ROW(G49) - 44) + 3)/100)</f>
        <v>0.175</v>
      </c>
      <c r="H49" s="20"/>
      <c r="I49" s="20" t="n">
        <f aca="false">2.1*1000</f>
        <v>2100</v>
      </c>
      <c r="J49" s="17"/>
      <c r="V49" s="20"/>
      <c r="W49" s="20"/>
      <c r="X49" s="20"/>
      <c r="Y49" s="20"/>
      <c r="Z49" s="20"/>
      <c r="AA49" s="20"/>
      <c r="AB49" s="20"/>
      <c r="AC49" s="20"/>
      <c r="AD49" s="20"/>
    </row>
    <row r="50" customFormat="false" ht="24" hidden="false" customHeight="true" outlineLevel="0" collapsed="false">
      <c r="C50" s="0"/>
      <c r="D50" s="15"/>
      <c r="E50" s="19" t="n">
        <f aca="false">$E$16*2</f>
        <v>0.37</v>
      </c>
      <c r="F50" s="19"/>
      <c r="G50" s="19" t="n">
        <f aca="false">($E$8-((ROW(G50) - 44) + 3)/100)</f>
        <v>0.165</v>
      </c>
      <c r="H50" s="20"/>
      <c r="I50" s="20" t="n">
        <f aca="false">1.72*1000</f>
        <v>1720</v>
      </c>
      <c r="J50" s="17"/>
      <c r="V50" s="20"/>
      <c r="W50" s="39"/>
      <c r="X50" s="20"/>
      <c r="Y50" s="20"/>
      <c r="Z50" s="20"/>
      <c r="AA50" s="20"/>
      <c r="AB50" s="20"/>
      <c r="AC50" s="20"/>
      <c r="AD50" s="20"/>
    </row>
    <row r="51" customFormat="false" ht="24" hidden="false" customHeight="true" outlineLevel="0" collapsed="false">
      <c r="C51" s="0"/>
      <c r="D51" s="15"/>
      <c r="E51" s="19" t="n">
        <f aca="false">$E$16*2</f>
        <v>0.37</v>
      </c>
      <c r="F51" s="19"/>
      <c r="G51" s="19" t="n">
        <f aca="false">($E$8-((ROW(G51) - 44) + 3)/100)</f>
        <v>0.155</v>
      </c>
      <c r="H51" s="20"/>
      <c r="I51" s="20" t="n">
        <f aca="false">1.6*1000</f>
        <v>1600</v>
      </c>
      <c r="J51" s="17"/>
      <c r="V51" s="20"/>
      <c r="W51" s="20"/>
      <c r="X51" s="20"/>
      <c r="Y51" s="20"/>
      <c r="Z51" s="20"/>
      <c r="AA51" s="20"/>
      <c r="AB51" s="20"/>
      <c r="AC51" s="20"/>
      <c r="AD51" s="20"/>
    </row>
    <row r="52" customFormat="false" ht="24" hidden="false" customHeight="true" outlineLevel="0" collapsed="false">
      <c r="C52" s="0"/>
      <c r="D52" s="15"/>
      <c r="E52" s="19" t="n">
        <f aca="false">$E$16*2</f>
        <v>0.37</v>
      </c>
      <c r="F52" s="19"/>
      <c r="G52" s="19" t="n">
        <f aca="false">($E$8-((ROW(G52) - 44) + 3)/100)</f>
        <v>0.145</v>
      </c>
      <c r="H52" s="20"/>
      <c r="I52" s="20" t="n">
        <f aca="false">1.72*1000</f>
        <v>1720</v>
      </c>
      <c r="J52" s="17"/>
      <c r="V52" s="20"/>
      <c r="W52" s="41"/>
      <c r="X52" s="42"/>
      <c r="Y52" s="34"/>
      <c r="Z52" s="19"/>
      <c r="AA52" s="19"/>
      <c r="AB52" s="20"/>
      <c r="AC52" s="20"/>
      <c r="AD52" s="20"/>
    </row>
    <row r="53" customFormat="false" ht="15" hidden="false" customHeight="false" outlineLevel="0" collapsed="false">
      <c r="D53" s="21"/>
      <c r="E53" s="22"/>
      <c r="F53" s="22"/>
      <c r="G53" s="22"/>
      <c r="H53" s="23"/>
      <c r="I53" s="23"/>
      <c r="J53" s="24"/>
      <c r="V53" s="20"/>
      <c r="W53" s="20"/>
      <c r="X53" s="20"/>
      <c r="Y53" s="20"/>
      <c r="Z53" s="20"/>
      <c r="AA53" s="20"/>
      <c r="AB53" s="20"/>
      <c r="AC53" s="20"/>
      <c r="AD53" s="20"/>
    </row>
    <row r="54" customFormat="false" ht="13.8" hidden="false" customHeight="false" outlineLevel="0" collapsed="false">
      <c r="E54" s="43"/>
      <c r="F54" s="43"/>
      <c r="G54" s="2"/>
    </row>
  </sheetData>
  <mergeCells count="25">
    <mergeCell ref="B2:D2"/>
    <mergeCell ref="E2:L2"/>
    <mergeCell ref="B3:D3"/>
    <mergeCell ref="E3:L3"/>
    <mergeCell ref="B4:D4"/>
    <mergeCell ref="E4:J4"/>
    <mergeCell ref="C7:G7"/>
    <mergeCell ref="C13:G13"/>
    <mergeCell ref="C14:D14"/>
    <mergeCell ref="C15:D15"/>
    <mergeCell ref="C16:D16"/>
    <mergeCell ref="C19:H19"/>
    <mergeCell ref="C22:I22"/>
    <mergeCell ref="W22:Z22"/>
    <mergeCell ref="W26:W27"/>
    <mergeCell ref="X26:X27"/>
    <mergeCell ref="Z26:Z27"/>
    <mergeCell ref="AB26:AB27"/>
    <mergeCell ref="AC26:AC27"/>
    <mergeCell ref="W40:Z40"/>
    <mergeCell ref="W44:W45"/>
    <mergeCell ref="X44:X45"/>
    <mergeCell ref="Z44:Z45"/>
    <mergeCell ref="AB44:AB45"/>
    <mergeCell ref="AC44:AC4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D1048576"/>
  <sheetViews>
    <sheetView showFormulas="false" showGridLines="true" showRowColHeaders="true" showZeros="true" rightToLeft="false" tabSelected="false" showOutlineSymbols="true" defaultGridColor="true" view="normal" topLeftCell="A31" colorId="64" zoomScale="110" zoomScaleNormal="110" zoomScalePageLayoutView="100" workbookViewId="0">
      <selection pane="topLeft" activeCell="AC26" activeCellId="0" sqref="AC2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.57"/>
    <col collapsed="false" customWidth="true" hidden="false" outlineLevel="0" max="3" min="3" style="2" width="10"/>
    <col collapsed="false" customWidth="true" hidden="false" outlineLevel="0" max="4" min="4" style="2" width="3.57"/>
    <col collapsed="false" customWidth="true" hidden="false" outlineLevel="0" max="5" min="5" style="2" width="10"/>
    <col collapsed="false" customWidth="true" hidden="false" outlineLevel="0" max="6" min="6" style="1" width="3.57"/>
    <col collapsed="false" customWidth="true" hidden="false" outlineLevel="0" max="7" min="7" style="1" width="10"/>
    <col collapsed="false" customWidth="true" hidden="false" outlineLevel="0" max="8" min="8" style="1" width="3.57"/>
    <col collapsed="false" customWidth="true" hidden="false" outlineLevel="0" max="9" min="9" style="1" width="10"/>
    <col collapsed="false" customWidth="true" hidden="false" outlineLevel="0" max="10" min="10" style="1" width="3.57"/>
    <col collapsed="false" customWidth="true" hidden="false" outlineLevel="0" max="21" min="13" style="1" width="8.29"/>
    <col collapsed="false" customWidth="true" hidden="false" outlineLevel="0" max="22" min="22" style="1" width="2.29"/>
    <col collapsed="false" customWidth="true" hidden="false" outlineLevel="0" max="23" min="23" style="1" width="7.42"/>
    <col collapsed="false" customWidth="true" hidden="false" outlineLevel="0" max="24" min="24" style="1" width="3.57"/>
    <col collapsed="false" customWidth="true" hidden="false" outlineLevel="0" max="25" min="25" style="1" width="11.57"/>
    <col collapsed="false" customWidth="true" hidden="false" outlineLevel="0" max="26" min="26" style="1" width="3.57"/>
    <col collapsed="false" customWidth="true" hidden="false" outlineLevel="0" max="27" min="27" style="1" width="37"/>
    <col collapsed="false" customWidth="true" hidden="false" outlineLevel="0" max="28" min="28" style="1" width="3.57"/>
    <col collapsed="false" customWidth="true" hidden="false" outlineLevel="0" max="30" min="30" style="1" width="2.29"/>
  </cols>
  <sheetData>
    <row r="1" customFormat="false" ht="15" hidden="false" customHeight="false" outlineLevel="0" collapsed="false"/>
    <row r="2" customFormat="false" ht="30.75" hidden="false" customHeight="true" outlineLevel="0" collapsed="false">
      <c r="B2" s="3" t="s">
        <v>0</v>
      </c>
      <c r="C2" s="3"/>
      <c r="D2" s="3"/>
      <c r="E2" s="4"/>
      <c r="F2" s="4"/>
      <c r="G2" s="4"/>
      <c r="H2" s="4"/>
      <c r="I2" s="4"/>
      <c r="J2" s="4"/>
      <c r="K2" s="4"/>
      <c r="L2" s="4"/>
    </row>
    <row r="3" customFormat="false" ht="30.75" hidden="false" customHeight="true" outlineLevel="0" collapsed="false">
      <c r="B3" s="5" t="s">
        <v>2</v>
      </c>
      <c r="C3" s="5"/>
      <c r="D3" s="5"/>
      <c r="E3" s="6"/>
      <c r="F3" s="6"/>
      <c r="G3" s="6"/>
      <c r="H3" s="6"/>
      <c r="I3" s="6"/>
      <c r="J3" s="6"/>
      <c r="K3" s="6"/>
      <c r="L3" s="6"/>
    </row>
    <row r="4" customFormat="false" ht="30.75" hidden="false" customHeight="true" outlineLevel="0" collapsed="false">
      <c r="B4" s="7" t="s">
        <v>4</v>
      </c>
      <c r="C4" s="7"/>
      <c r="D4" s="7"/>
      <c r="E4" s="8"/>
      <c r="F4" s="8"/>
      <c r="G4" s="8"/>
      <c r="H4" s="8"/>
      <c r="I4" s="8"/>
      <c r="J4" s="8"/>
      <c r="K4" s="9" t="s">
        <v>6</v>
      </c>
      <c r="L4" s="10"/>
    </row>
    <row r="5" customFormat="false" ht="15" hidden="false" customHeight="false" outlineLevel="0" collapsed="false"/>
    <row r="6" customFormat="false" ht="12" hidden="false" customHeight="true" outlineLevel="0" collapsed="false">
      <c r="B6" s="11"/>
      <c r="C6" s="12"/>
      <c r="D6" s="12"/>
      <c r="E6" s="12"/>
      <c r="F6" s="13"/>
      <c r="G6" s="13"/>
      <c r="H6" s="14"/>
    </row>
    <row r="7" customFormat="false" ht="18.75" hidden="false" customHeight="true" outlineLevel="0" collapsed="false">
      <c r="B7" s="15"/>
      <c r="C7" s="16" t="s">
        <v>8</v>
      </c>
      <c r="D7" s="16"/>
      <c r="E7" s="16"/>
      <c r="F7" s="16"/>
      <c r="G7" s="16"/>
      <c r="H7" s="17"/>
    </row>
    <row r="8" customFormat="false" ht="21.75" hidden="false" customHeight="true" outlineLevel="0" collapsed="false">
      <c r="B8" s="15"/>
      <c r="C8" s="18" t="s">
        <v>9</v>
      </c>
      <c r="D8" s="19" t="s">
        <v>10</v>
      </c>
      <c r="E8" s="19" t="n">
        <f aca="false">25.5/100</f>
        <v>0.255</v>
      </c>
      <c r="F8" s="20"/>
      <c r="G8" s="20" t="n">
        <v>0.255</v>
      </c>
      <c r="H8" s="17"/>
    </row>
    <row r="9" customFormat="false" ht="21.75" hidden="false" customHeight="true" outlineLevel="0" collapsed="false">
      <c r="B9" s="15"/>
      <c r="C9" s="18" t="s">
        <v>11</v>
      </c>
      <c r="D9" s="19" t="s">
        <v>10</v>
      </c>
      <c r="E9" s="19" t="n">
        <f aca="false">10.2/100</f>
        <v>0.102</v>
      </c>
      <c r="F9" s="20"/>
      <c r="G9" s="20" t="n">
        <v>0.102</v>
      </c>
      <c r="H9" s="17"/>
    </row>
    <row r="10" customFormat="false" ht="12" hidden="false" customHeight="true" outlineLevel="0" collapsed="false">
      <c r="B10" s="21"/>
      <c r="C10" s="22"/>
      <c r="D10" s="22"/>
      <c r="E10" s="22"/>
      <c r="F10" s="23"/>
      <c r="G10" s="23"/>
      <c r="H10" s="24"/>
    </row>
    <row r="11" customFormat="false" ht="18.75" hidden="false" customHeight="true" outlineLevel="0" collapsed="false"/>
    <row r="12" customFormat="false" ht="12" hidden="false" customHeight="true" outlineLevel="0" collapsed="false">
      <c r="B12" s="11"/>
      <c r="C12" s="12"/>
      <c r="D12" s="12"/>
      <c r="E12" s="12"/>
      <c r="F12" s="13"/>
      <c r="G12" s="14"/>
      <c r="H12" s="20"/>
    </row>
    <row r="13" customFormat="false" ht="23.25" hidden="false" customHeight="true" outlineLevel="0" collapsed="false">
      <c r="B13" s="15"/>
      <c r="C13" s="25" t="s">
        <v>37</v>
      </c>
      <c r="D13" s="25"/>
      <c r="E13" s="25"/>
      <c r="F13" s="25"/>
      <c r="G13" s="25"/>
      <c r="H13" s="20"/>
    </row>
    <row r="14" customFormat="false" ht="23.25" hidden="false" customHeight="true" outlineLevel="0" collapsed="false">
      <c r="B14" s="15"/>
      <c r="C14" s="26" t="s">
        <v>13</v>
      </c>
      <c r="D14" s="26"/>
      <c r="E14" s="19" t="n">
        <v>112</v>
      </c>
      <c r="F14" s="27"/>
      <c r="G14" s="28"/>
      <c r="H14" s="20"/>
    </row>
    <row r="15" customFormat="false" ht="23.25" hidden="false" customHeight="true" outlineLevel="0" collapsed="false">
      <c r="B15" s="15"/>
      <c r="C15" s="26" t="s">
        <v>14</v>
      </c>
      <c r="D15" s="26"/>
      <c r="E15" s="47" t="n">
        <v>2.64</v>
      </c>
      <c r="F15" s="27" t="s">
        <v>15</v>
      </c>
      <c r="G15" s="28"/>
      <c r="H15" s="20"/>
    </row>
    <row r="16" customFormat="false" ht="23.25" hidden="false" customHeight="true" outlineLevel="0" collapsed="false">
      <c r="B16" s="15"/>
      <c r="C16" s="26" t="s">
        <v>16</v>
      </c>
      <c r="D16" s="26"/>
      <c r="E16" s="48" t="n">
        <f aca="false">E15/E14</f>
        <v>0.0235714285714286</v>
      </c>
      <c r="F16" s="27" t="s">
        <v>15</v>
      </c>
      <c r="G16" s="28"/>
      <c r="H16" s="20"/>
    </row>
    <row r="17" customFormat="false" ht="15" hidden="false" customHeight="false" outlineLevel="0" collapsed="false">
      <c r="B17" s="21"/>
      <c r="C17" s="22"/>
      <c r="D17" s="22"/>
      <c r="E17" s="22"/>
      <c r="F17" s="23"/>
      <c r="G17" s="24"/>
      <c r="H17" s="20"/>
    </row>
    <row r="18" customFormat="false" ht="26.25" hidden="false" customHeight="true" outlineLevel="0" collapsed="false"/>
    <row r="19" customFormat="false" ht="22.5" hidden="false" customHeight="true" outlineLevel="0" collapsed="false">
      <c r="C19" s="29" t="s">
        <v>17</v>
      </c>
      <c r="D19" s="29"/>
      <c r="E19" s="29"/>
      <c r="F19" s="29"/>
      <c r="G19" s="29"/>
      <c r="H19" s="29"/>
    </row>
    <row r="20" customFormat="false" ht="8.25" hidden="false" customHeight="true" outlineLevel="0" collapsed="false"/>
    <row r="21" customFormat="false" ht="12" hidden="false" customHeight="true" outlineLevel="0" collapsed="false">
      <c r="B21" s="11"/>
      <c r="C21" s="12"/>
      <c r="D21" s="12"/>
      <c r="E21" s="12"/>
      <c r="F21" s="13"/>
      <c r="G21" s="13"/>
      <c r="H21" s="13"/>
      <c r="I21" s="13"/>
      <c r="J21" s="14"/>
      <c r="V21" s="11"/>
      <c r="W21" s="13"/>
      <c r="X21" s="13"/>
      <c r="Y21" s="13"/>
      <c r="Z21" s="13"/>
      <c r="AA21" s="13"/>
      <c r="AB21" s="13"/>
      <c r="AC21" s="13"/>
      <c r="AD21" s="14"/>
    </row>
    <row r="22" customFormat="false" ht="24" hidden="false" customHeight="true" outlineLevel="0" collapsed="false">
      <c r="B22" s="15"/>
      <c r="C22" s="30" t="s">
        <v>27</v>
      </c>
      <c r="D22" s="30"/>
      <c r="E22" s="30"/>
      <c r="F22" s="30"/>
      <c r="G22" s="30"/>
      <c r="H22" s="30"/>
      <c r="I22" s="30"/>
      <c r="J22" s="17"/>
      <c r="V22" s="15"/>
      <c r="W22" s="31" t="s">
        <v>18</v>
      </c>
      <c r="X22" s="31"/>
      <c r="Y22" s="31"/>
      <c r="Z22" s="31"/>
      <c r="AA22" s="20"/>
      <c r="AB22" s="20"/>
      <c r="AC22" s="20"/>
      <c r="AD22" s="17"/>
    </row>
    <row r="23" customFormat="false" ht="11.25" hidden="false" customHeight="true" outlineLevel="0" collapsed="false">
      <c r="B23" s="15"/>
      <c r="C23" s="30"/>
      <c r="D23" s="30"/>
      <c r="E23" s="30"/>
      <c r="F23" s="20"/>
      <c r="G23" s="20"/>
      <c r="H23" s="20"/>
      <c r="I23" s="20"/>
      <c r="J23" s="17"/>
      <c r="V23" s="15"/>
      <c r="W23" s="32"/>
      <c r="X23" s="32"/>
      <c r="Y23" s="32"/>
      <c r="Z23" s="32"/>
      <c r="AA23" s="20"/>
      <c r="AB23" s="20"/>
      <c r="AC23" s="20"/>
      <c r="AD23" s="17"/>
    </row>
    <row r="24" customFormat="false" ht="24" hidden="false" customHeight="true" outlineLevel="0" collapsed="false">
      <c r="B24" s="15"/>
      <c r="C24" s="22" t="s">
        <v>28</v>
      </c>
      <c r="D24" s="19"/>
      <c r="E24" s="22" t="s">
        <v>29</v>
      </c>
      <c r="F24" s="20"/>
      <c r="G24" s="23" t="s">
        <v>30</v>
      </c>
      <c r="H24" s="20"/>
      <c r="I24" s="23" t="s">
        <v>31</v>
      </c>
      <c r="J24" s="17"/>
      <c r="V24" s="15"/>
      <c r="W24" s="33" t="s">
        <v>19</v>
      </c>
      <c r="X24" s="34"/>
      <c r="Y24" s="34"/>
      <c r="Z24" s="19"/>
      <c r="AA24" s="20"/>
      <c r="AB24" s="20"/>
      <c r="AC24" s="20"/>
      <c r="AD24" s="17"/>
    </row>
    <row r="25" customFormat="false" ht="24" hidden="false" customHeight="true" outlineLevel="0" collapsed="false">
      <c r="B25" s="15"/>
      <c r="C25" s="19" t="n">
        <v>1</v>
      </c>
      <c r="D25" s="19"/>
      <c r="E25" s="49" t="n">
        <f aca="false">C25*$E$16</f>
        <v>0.0235714285714286</v>
      </c>
      <c r="F25" s="20"/>
      <c r="G25" s="50" t="n">
        <f aca="false">1000/E25</f>
        <v>42424.2424242424</v>
      </c>
      <c r="H25" s="20"/>
      <c r="I25" s="20" t="n">
        <f aca="false">15*1000</f>
        <v>15000</v>
      </c>
      <c r="J25" s="17"/>
      <c r="K25" s="1" t="n">
        <f aca="false">SLOPE(I25:I32,G25:G32)</f>
        <v>0.359279303839435</v>
      </c>
      <c r="L25" s="1" t="n">
        <f aca="false">G25*$K$25+$K$26</f>
        <v>14908.903226866</v>
      </c>
      <c r="M25" s="51" t="n">
        <f aca="false">(L25-I25)/L25</f>
        <v>-0.0061102263357546</v>
      </c>
      <c r="V25" s="15"/>
      <c r="W25" s="34"/>
      <c r="X25" s="34"/>
      <c r="Y25" s="34"/>
      <c r="Z25" s="19"/>
      <c r="AA25" s="20"/>
      <c r="AB25" s="20"/>
      <c r="AC25" s="20"/>
      <c r="AD25" s="17"/>
    </row>
    <row r="26" customFormat="false" ht="24" hidden="false" customHeight="true" outlineLevel="0" collapsed="false">
      <c r="B26" s="15"/>
      <c r="C26" s="19" t="n">
        <v>2</v>
      </c>
      <c r="D26" s="19"/>
      <c r="E26" s="49" t="n">
        <f aca="false">C26*$E$16</f>
        <v>0.0471428571428571</v>
      </c>
      <c r="F26" s="20"/>
      <c r="G26" s="50" t="n">
        <f aca="false">1000/E26</f>
        <v>21212.1212121212</v>
      </c>
      <c r="H26" s="20"/>
      <c r="I26" s="20" t="n">
        <f aca="false">7.01*1000</f>
        <v>7010</v>
      </c>
      <c r="J26" s="17"/>
      <c r="K26" s="1" t="n">
        <f aca="false">INTERCEPT(I25:I32,G25:G32)</f>
        <v>-333.249057231246</v>
      </c>
      <c r="L26" s="1" t="n">
        <f aca="false">G26*$K$25+$K$26</f>
        <v>7287.82708481737</v>
      </c>
      <c r="M26" s="51" t="n">
        <f aca="false">(L26-I26)/L26</f>
        <v>0.0381220741908329</v>
      </c>
      <c r="V26" s="15"/>
      <c r="W26" s="35" t="s">
        <v>20</v>
      </c>
      <c r="X26" s="34" t="s">
        <v>10</v>
      </c>
      <c r="Y26" s="36" t="s">
        <v>21</v>
      </c>
      <c r="Z26" s="34" t="s">
        <v>10</v>
      </c>
      <c r="AA26" s="52" t="str">
        <f aca="false">TEXT(SLOPE(I25:I32,G25:G32), "0.000")</f>
        <v>0.359</v>
      </c>
      <c r="AB26" s="34" t="s">
        <v>10</v>
      </c>
      <c r="AC26" s="37" t="n">
        <f aca="false">SLOPE(I25:I32,G25:G32)/(8.8541*E9*E8)</f>
        <v>1.56008199860124</v>
      </c>
      <c r="AD26" s="17"/>
    </row>
    <row r="27" customFormat="false" ht="24" hidden="false" customHeight="true" outlineLevel="0" collapsed="false">
      <c r="B27" s="15"/>
      <c r="C27" s="19" t="n">
        <v>3</v>
      </c>
      <c r="D27" s="19"/>
      <c r="E27" s="49" t="n">
        <f aca="false">C27*$E$16</f>
        <v>0.0707142857142857</v>
      </c>
      <c r="F27" s="20"/>
      <c r="G27" s="50" t="n">
        <f aca="false">1000/E27</f>
        <v>14141.4141414141</v>
      </c>
      <c r="H27" s="20"/>
      <c r="I27" s="20" t="n">
        <f aca="false">4.94*1000</f>
        <v>4940</v>
      </c>
      <c r="J27" s="17"/>
      <c r="L27" s="1" t="n">
        <f aca="false">G27*$K$25+$K$26</f>
        <v>4747.46837080115</v>
      </c>
      <c r="M27" s="51" t="n">
        <f aca="false">(L27-I27)/L27</f>
        <v>-0.0405545891328067</v>
      </c>
      <c r="V27" s="15"/>
      <c r="W27" s="35"/>
      <c r="X27" s="34"/>
      <c r="Y27" s="38" t="s">
        <v>22</v>
      </c>
      <c r="Z27" s="34"/>
      <c r="AA27" s="20" t="s">
        <v>38</v>
      </c>
      <c r="AB27" s="34"/>
      <c r="AC27" s="37"/>
      <c r="AD27" s="17"/>
    </row>
    <row r="28" customFormat="false" ht="24" hidden="false" customHeight="true" outlineLevel="0" collapsed="false">
      <c r="B28" s="15"/>
      <c r="C28" s="19" t="n">
        <v>4</v>
      </c>
      <c r="D28" s="19"/>
      <c r="E28" s="49" t="n">
        <f aca="false">C28*$E$16</f>
        <v>0.0942857142857143</v>
      </c>
      <c r="F28" s="20"/>
      <c r="G28" s="50" t="n">
        <f aca="false">1000/E28</f>
        <v>10606.0606060606</v>
      </c>
      <c r="H28" s="20"/>
      <c r="I28" s="20" t="n">
        <f aca="false">3.4*1000</f>
        <v>3400</v>
      </c>
      <c r="J28" s="17"/>
      <c r="L28" s="1" t="n">
        <f aca="false">G28*$K$25+$K$26</f>
        <v>3477.28901379306</v>
      </c>
      <c r="M28" s="51" t="n">
        <f aca="false">(L28-I28)/L28</f>
        <v>0.022226801823629</v>
      </c>
      <c r="V28" s="21"/>
      <c r="W28" s="23"/>
      <c r="X28" s="23"/>
      <c r="Y28" s="23"/>
      <c r="Z28" s="23"/>
      <c r="AA28" s="23"/>
      <c r="AB28" s="23"/>
      <c r="AC28" s="23"/>
      <c r="AD28" s="24"/>
    </row>
    <row r="29" customFormat="false" ht="24" hidden="false" customHeight="true" outlineLevel="0" collapsed="false">
      <c r="B29" s="15"/>
      <c r="C29" s="19" t="n">
        <v>5</v>
      </c>
      <c r="D29" s="19"/>
      <c r="E29" s="49" t="n">
        <f aca="false">C29*$E$16</f>
        <v>0.117857142857143</v>
      </c>
      <c r="F29" s="20"/>
      <c r="G29" s="50" t="n">
        <f aca="false">1000/E29</f>
        <v>8484.84848484848</v>
      </c>
      <c r="H29" s="20"/>
      <c r="I29" s="20" t="n">
        <f aca="false">2.55*1000</f>
        <v>2550</v>
      </c>
      <c r="J29" s="17"/>
      <c r="L29" s="1" t="n">
        <f aca="false">G29*$K$25+$K$26</f>
        <v>2715.1813995882</v>
      </c>
      <c r="M29" s="51" t="n">
        <f aca="false">(L29-I29)/L29</f>
        <v>0.0608362298052172</v>
      </c>
      <c r="V29" s="20"/>
      <c r="W29" s="39"/>
      <c r="X29" s="39"/>
      <c r="Y29" s="39"/>
      <c r="Z29" s="39"/>
      <c r="AA29" s="39"/>
      <c r="AB29" s="39"/>
      <c r="AC29" s="20"/>
      <c r="AD29" s="20"/>
    </row>
    <row r="30" customFormat="false" ht="24" hidden="false" customHeight="true" outlineLevel="0" collapsed="false">
      <c r="B30" s="15"/>
      <c r="C30" s="19" t="n">
        <v>6</v>
      </c>
      <c r="D30" s="19"/>
      <c r="E30" s="49" t="n">
        <f aca="false">C30*$E$16</f>
        <v>0.141428571428571</v>
      </c>
      <c r="F30" s="20"/>
      <c r="G30" s="50" t="n">
        <f aca="false">1000/E30</f>
        <v>7070.70707070707</v>
      </c>
      <c r="H30" s="20"/>
      <c r="I30" s="20" t="n">
        <f aca="false">2.38*1000</f>
        <v>2380</v>
      </c>
      <c r="J30" s="17"/>
      <c r="L30" s="1" t="n">
        <f aca="false">G30*$K$25+$K$26</f>
        <v>2207.10965678496</v>
      </c>
      <c r="M30" s="51" t="n">
        <f aca="false">(L30-I30)/L30</f>
        <v>-0.0783333726457828</v>
      </c>
      <c r="V30" s="20"/>
      <c r="W30" s="40"/>
      <c r="X30" s="40"/>
      <c r="Y30" s="40"/>
      <c r="Z30" s="40"/>
      <c r="AA30" s="19"/>
      <c r="AB30" s="19"/>
      <c r="AC30" s="33"/>
      <c r="AD30" s="20"/>
    </row>
    <row r="31" customFormat="false" ht="24" hidden="false" customHeight="true" outlineLevel="0" collapsed="false">
      <c r="B31" s="15"/>
      <c r="C31" s="19" t="n">
        <v>7</v>
      </c>
      <c r="D31" s="19"/>
      <c r="E31" s="49" t="n">
        <f aca="false">C31*$E$16</f>
        <v>0.165</v>
      </c>
      <c r="F31" s="20"/>
      <c r="G31" s="50" t="n">
        <f aca="false">1000/E31</f>
        <v>6060.60606060606</v>
      </c>
      <c r="H31" s="20"/>
      <c r="I31" s="20" t="n">
        <f aca="false">1.8*1000</f>
        <v>1800</v>
      </c>
      <c r="J31" s="17"/>
      <c r="L31" s="1" t="n">
        <f aca="false">G31*$K$25+$K$26</f>
        <v>1844.20126906836</v>
      </c>
      <c r="M31" s="51" t="n">
        <f aca="false">(L31-I31)/L31</f>
        <v>0.0239677034224612</v>
      </c>
      <c r="V31" s="20"/>
      <c r="W31" s="20"/>
      <c r="X31" s="20"/>
      <c r="Y31" s="20"/>
      <c r="Z31" s="20"/>
      <c r="AA31" s="20"/>
      <c r="AB31" s="20"/>
      <c r="AC31" s="20"/>
      <c r="AD31" s="20"/>
    </row>
    <row r="32" customFormat="false" ht="24" hidden="false" customHeight="true" outlineLevel="0" collapsed="false">
      <c r="B32" s="15"/>
      <c r="C32" s="19" t="n">
        <v>8</v>
      </c>
      <c r="D32" s="19"/>
      <c r="E32" s="49" t="n">
        <f aca="false">C32*$E$16</f>
        <v>0.188571428571429</v>
      </c>
      <c r="F32" s="20"/>
      <c r="G32" s="50" t="n">
        <f aca="false">1000/E32</f>
        <v>5303.0303030303</v>
      </c>
      <c r="H32" s="20"/>
      <c r="I32" s="20" t="n">
        <f aca="false">1.68*1000</f>
        <v>1680</v>
      </c>
      <c r="J32" s="17"/>
      <c r="L32" s="1" t="n">
        <f aca="false">G32*$K$25+$K$26</f>
        <v>1572.01997828091</v>
      </c>
      <c r="M32" s="51" t="n">
        <f aca="false">(L32-I32)/L32</f>
        <v>-0.0686887082931196</v>
      </c>
      <c r="V32" s="20"/>
      <c r="W32" s="39"/>
      <c r="X32" s="20"/>
      <c r="Y32" s="20"/>
      <c r="Z32" s="20"/>
      <c r="AA32" s="20"/>
      <c r="AB32" s="20"/>
      <c r="AC32" s="20"/>
      <c r="AD32" s="20"/>
    </row>
    <row r="33" customFormat="false" ht="15" hidden="false" customHeight="false" outlineLevel="0" collapsed="false">
      <c r="B33" s="21"/>
      <c r="C33" s="22"/>
      <c r="D33" s="22"/>
      <c r="E33" s="22"/>
      <c r="F33" s="23"/>
      <c r="G33" s="23"/>
      <c r="H33" s="23"/>
      <c r="I33" s="23"/>
      <c r="J33" s="24"/>
      <c r="V33" s="20"/>
      <c r="W33" s="20"/>
      <c r="X33" s="20"/>
      <c r="Y33" s="20"/>
      <c r="Z33" s="20"/>
      <c r="AA33" s="20"/>
      <c r="AB33" s="20"/>
      <c r="AC33" s="20"/>
      <c r="AD33" s="20"/>
    </row>
    <row r="34" customFormat="false" ht="24.75" hidden="false" customHeight="true" outlineLevel="0" collapsed="false">
      <c r="B34" s="2"/>
      <c r="C34" s="43"/>
      <c r="D34" s="43"/>
    </row>
    <row r="35" customFormat="false" ht="22.5" hidden="false" customHeight="true" outlineLevel="0" collapsed="false">
      <c r="D35" s="44"/>
      <c r="E35" s="44" t="s">
        <v>23</v>
      </c>
      <c r="F35" s="44"/>
      <c r="G35" s="44"/>
      <c r="H35" s="44"/>
    </row>
    <row r="36" customFormat="false" ht="8.25" hidden="false" customHeight="true" outlineLevel="0" collapsed="false"/>
    <row r="37" customFormat="false" ht="12" hidden="false" customHeight="true" outlineLevel="0" collapsed="false">
      <c r="D37" s="11"/>
      <c r="E37" s="12"/>
      <c r="F37" s="12"/>
      <c r="G37" s="12"/>
      <c r="H37" s="13"/>
      <c r="I37" s="13"/>
      <c r="J37" s="14"/>
      <c r="V37" s="11"/>
      <c r="W37" s="13"/>
      <c r="X37" s="13"/>
      <c r="Y37" s="13"/>
      <c r="Z37" s="13"/>
      <c r="AA37" s="13"/>
      <c r="AB37" s="13"/>
      <c r="AC37" s="13"/>
      <c r="AD37" s="14"/>
    </row>
    <row r="38" customFormat="false" ht="24" hidden="false" customHeight="true" outlineLevel="0" collapsed="false">
      <c r="D38" s="15"/>
      <c r="E38" s="45"/>
      <c r="F38" s="45"/>
      <c r="G38" s="45"/>
      <c r="H38" s="45"/>
      <c r="I38" s="45"/>
      <c r="J38" s="46"/>
      <c r="V38" s="15"/>
      <c r="W38" s="31" t="s">
        <v>18</v>
      </c>
      <c r="X38" s="31"/>
      <c r="Y38" s="31"/>
      <c r="Z38" s="31"/>
      <c r="AA38" s="20"/>
      <c r="AB38" s="20"/>
      <c r="AC38" s="20"/>
      <c r="AD38" s="17"/>
    </row>
    <row r="39" customFormat="false" ht="11.25" hidden="false" customHeight="true" outlineLevel="0" collapsed="false">
      <c r="D39" s="15"/>
      <c r="E39" s="30"/>
      <c r="F39" s="30"/>
      <c r="G39" s="30"/>
      <c r="H39" s="20"/>
      <c r="I39" s="20"/>
      <c r="J39" s="17"/>
      <c r="V39" s="15"/>
      <c r="W39" s="32"/>
      <c r="X39" s="32"/>
      <c r="Y39" s="32"/>
      <c r="Z39" s="32"/>
      <c r="AA39" s="20"/>
      <c r="AB39" s="20"/>
      <c r="AC39" s="20"/>
      <c r="AD39" s="17"/>
    </row>
    <row r="40" customFormat="false" ht="24" hidden="false" customHeight="true" outlineLevel="0" collapsed="false">
      <c r="D40" s="15"/>
      <c r="E40" s="22" t="s">
        <v>39</v>
      </c>
      <c r="F40" s="19"/>
      <c r="G40" s="22" t="s">
        <v>34</v>
      </c>
      <c r="H40" s="20"/>
      <c r="I40" s="23" t="s">
        <v>31</v>
      </c>
      <c r="J40" s="17"/>
      <c r="V40" s="15"/>
      <c r="W40" s="33" t="s">
        <v>19</v>
      </c>
      <c r="X40" s="34"/>
      <c r="Y40" s="34"/>
      <c r="Z40" s="19"/>
      <c r="AA40" s="20"/>
      <c r="AB40" s="20"/>
      <c r="AC40" s="20"/>
      <c r="AD40" s="17"/>
    </row>
    <row r="41" customFormat="false" ht="24" hidden="false" customHeight="true" outlineLevel="0" collapsed="false">
      <c r="D41" s="15"/>
      <c r="E41" s="19" t="n">
        <f aca="false">2*$E$8-G41</f>
        <v>0.275</v>
      </c>
      <c r="F41" s="19"/>
      <c r="G41" s="19" t="n">
        <f aca="false">($E$8-((ROW(G41) - 41) + 2)/100)</f>
        <v>0.235</v>
      </c>
      <c r="H41" s="20"/>
      <c r="I41" s="20" t="n">
        <f aca="false">6.31*1000</f>
        <v>6310</v>
      </c>
      <c r="J41" s="17"/>
      <c r="V41" s="15"/>
      <c r="W41" s="34"/>
      <c r="X41" s="34"/>
      <c r="Y41" s="34"/>
      <c r="Z41" s="19"/>
      <c r="AA41" s="20"/>
      <c r="AB41" s="20"/>
      <c r="AC41" s="20"/>
      <c r="AD41" s="17"/>
    </row>
    <row r="42" customFormat="false" ht="24" hidden="false" customHeight="true" outlineLevel="0" collapsed="false">
      <c r="D42" s="15"/>
      <c r="E42" s="19" t="n">
        <f aca="false">2*$E$8-G42</f>
        <v>0.285</v>
      </c>
      <c r="F42" s="19"/>
      <c r="G42" s="19" t="n">
        <f aca="false">($E$8-((ROW(G42) - 41) + 2)/100)</f>
        <v>0.225</v>
      </c>
      <c r="H42" s="20"/>
      <c r="I42" s="1" t="n">
        <f aca="false">5.75*1000</f>
        <v>5750</v>
      </c>
      <c r="J42" s="17"/>
      <c r="V42" s="15"/>
      <c r="W42" s="35" t="s">
        <v>20</v>
      </c>
      <c r="X42" s="34" t="s">
        <v>10</v>
      </c>
      <c r="Y42" s="36" t="s">
        <v>24</v>
      </c>
      <c r="Z42" s="34" t="s">
        <v>10</v>
      </c>
      <c r="AA42" s="23" t="str">
        <f aca="false">"("&amp; TEXT(SLOPE(I41:I46,G41:G46), "0.000") &amp; ") (" &amp; TEXT(E16*2, "0.000") &amp; "x10^-3 m)"</f>
        <v>(72428.571) (0.047x10^-3 m)</v>
      </c>
      <c r="AB42" s="34" t="s">
        <v>10</v>
      </c>
      <c r="AC42" s="37" t="n">
        <f aca="false">E16 * 2 / 1000 * SLOPE(I41:I46,G41:G46)/(8.8541*E9)</f>
        <v>3.78077841407511</v>
      </c>
      <c r="AD42" s="17"/>
    </row>
    <row r="43" customFormat="false" ht="24" hidden="false" customHeight="true" outlineLevel="0" collapsed="false">
      <c r="D43" s="15"/>
      <c r="E43" s="19" t="n">
        <f aca="false">2*$E$8-G43</f>
        <v>0.295</v>
      </c>
      <c r="F43" s="19"/>
      <c r="G43" s="19" t="n">
        <f aca="false">($E$8-((ROW(G43) - 41) + 2)/100)</f>
        <v>0.215</v>
      </c>
      <c r="H43" s="20"/>
      <c r="I43" s="20" t="n">
        <f aca="false">5.15*1000</f>
        <v>5150</v>
      </c>
      <c r="J43" s="17"/>
      <c r="V43" s="15"/>
      <c r="W43" s="35"/>
      <c r="X43" s="34"/>
      <c r="Y43" s="38" t="s">
        <v>25</v>
      </c>
      <c r="Z43" s="34"/>
      <c r="AA43" s="20" t="s">
        <v>40</v>
      </c>
      <c r="AB43" s="34"/>
      <c r="AC43" s="37"/>
      <c r="AD43" s="17"/>
    </row>
    <row r="44" customFormat="false" ht="24" hidden="false" customHeight="true" outlineLevel="0" collapsed="false">
      <c r="D44" s="15"/>
      <c r="E44" s="19" t="n">
        <f aca="false">2*$E$8-G44</f>
        <v>0.305</v>
      </c>
      <c r="F44" s="19"/>
      <c r="G44" s="19" t="n">
        <f aca="false">($E$8-((ROW(G44) - 41) + 2)/100)</f>
        <v>0.205</v>
      </c>
      <c r="H44" s="20"/>
      <c r="I44" s="1" t="n">
        <f aca="false">4.3*1000</f>
        <v>4300</v>
      </c>
      <c r="J44" s="17"/>
      <c r="V44" s="21"/>
      <c r="W44" s="23"/>
      <c r="X44" s="23"/>
      <c r="Y44" s="23"/>
      <c r="Z44" s="23"/>
      <c r="AA44" s="23"/>
      <c r="AB44" s="23"/>
      <c r="AC44" s="23"/>
      <c r="AD44" s="24"/>
    </row>
    <row r="45" customFormat="false" ht="24" hidden="false" customHeight="true" outlineLevel="0" collapsed="false">
      <c r="D45" s="15"/>
      <c r="E45" s="19" t="n">
        <f aca="false">2*$E$8-G45</f>
        <v>0.315</v>
      </c>
      <c r="F45" s="19"/>
      <c r="G45" s="19" t="n">
        <f aca="false">($E$8-((ROW(G45) - 41) + 2)/100)</f>
        <v>0.195</v>
      </c>
      <c r="H45" s="20"/>
      <c r="I45" s="20" t="n">
        <f aca="false">3.6*1000</f>
        <v>3600</v>
      </c>
      <c r="J45" s="17"/>
      <c r="V45" s="20"/>
      <c r="W45" s="39"/>
      <c r="X45" s="39"/>
      <c r="Y45" s="39"/>
      <c r="Z45" s="39"/>
      <c r="AA45" s="39"/>
      <c r="AB45" s="39"/>
      <c r="AC45" s="20"/>
      <c r="AD45" s="20"/>
    </row>
    <row r="46" customFormat="false" ht="24" hidden="false" customHeight="true" outlineLevel="0" collapsed="false">
      <c r="D46" s="15"/>
      <c r="E46" s="19" t="n">
        <f aca="false">2*$E$8-G46</f>
        <v>0.325</v>
      </c>
      <c r="F46" s="19"/>
      <c r="G46" s="19" t="n">
        <f aca="false">($E$8-((ROW(G46) - 41) + 2)/100)</f>
        <v>0.185</v>
      </c>
      <c r="H46" s="20"/>
      <c r="I46" s="1" t="n">
        <f aca="false">2.7*1000</f>
        <v>2700</v>
      </c>
      <c r="J46" s="17"/>
      <c r="V46" s="20"/>
      <c r="W46" s="40"/>
      <c r="X46" s="40"/>
      <c r="Y46" s="40"/>
      <c r="Z46" s="40"/>
      <c r="AA46" s="19"/>
      <c r="AB46" s="19"/>
      <c r="AC46" s="33"/>
      <c r="AD46" s="20"/>
    </row>
    <row r="47" customFormat="false" ht="24" hidden="false" customHeight="true" outlineLevel="0" collapsed="false">
      <c r="D47" s="15"/>
      <c r="E47" s="19"/>
      <c r="F47" s="19"/>
      <c r="G47" s="19"/>
      <c r="H47" s="20"/>
      <c r="I47" s="20"/>
      <c r="J47" s="17"/>
      <c r="V47" s="20"/>
      <c r="W47" s="20"/>
      <c r="X47" s="20"/>
      <c r="Y47" s="20"/>
      <c r="Z47" s="20"/>
      <c r="AA47" s="20"/>
      <c r="AB47" s="20"/>
      <c r="AC47" s="20"/>
      <c r="AD47" s="20"/>
    </row>
    <row r="48" customFormat="false" ht="24" hidden="false" customHeight="true" outlineLevel="0" collapsed="false">
      <c r="D48" s="15"/>
      <c r="E48" s="19"/>
      <c r="F48" s="19"/>
      <c r="G48" s="19"/>
      <c r="H48" s="20"/>
      <c r="I48" s="20"/>
      <c r="J48" s="17"/>
      <c r="V48" s="20"/>
      <c r="W48" s="39"/>
      <c r="X48" s="20"/>
      <c r="Y48" s="20"/>
      <c r="Z48" s="20"/>
      <c r="AA48" s="20"/>
      <c r="AB48" s="20"/>
      <c r="AC48" s="20"/>
      <c r="AD48" s="20"/>
    </row>
    <row r="49" customFormat="false" ht="24" hidden="false" customHeight="true" outlineLevel="0" collapsed="false">
      <c r="D49" s="15"/>
      <c r="E49" s="19"/>
      <c r="F49" s="19"/>
      <c r="G49" s="19"/>
      <c r="H49" s="20"/>
      <c r="I49" s="20"/>
      <c r="J49" s="17"/>
      <c r="V49" s="20"/>
      <c r="W49" s="20"/>
      <c r="X49" s="20"/>
      <c r="Y49" s="20"/>
      <c r="Z49" s="20"/>
      <c r="AA49" s="20"/>
      <c r="AB49" s="20"/>
      <c r="AC49" s="20"/>
      <c r="AD49" s="20"/>
    </row>
    <row r="50" customFormat="false" ht="24" hidden="false" customHeight="true" outlineLevel="0" collapsed="false">
      <c r="D50" s="15"/>
      <c r="E50" s="19"/>
      <c r="F50" s="19"/>
      <c r="G50" s="19"/>
      <c r="H50" s="20"/>
      <c r="I50" s="20"/>
      <c r="J50" s="17"/>
      <c r="V50" s="20"/>
      <c r="W50" s="41"/>
      <c r="X50" s="42"/>
      <c r="Y50" s="34"/>
      <c r="Z50" s="19"/>
      <c r="AA50" s="19"/>
      <c r="AB50" s="20"/>
      <c r="AC50" s="20"/>
      <c r="AD50" s="20"/>
    </row>
    <row r="51" customFormat="false" ht="15" hidden="false" customHeight="false" outlineLevel="0" collapsed="false">
      <c r="D51" s="21"/>
      <c r="E51" s="22"/>
      <c r="F51" s="22"/>
      <c r="G51" s="22"/>
      <c r="H51" s="23"/>
      <c r="I51" s="23"/>
      <c r="J51" s="24"/>
      <c r="V51" s="20"/>
      <c r="W51" s="20"/>
      <c r="X51" s="20"/>
      <c r="Y51" s="20"/>
      <c r="Z51" s="20"/>
      <c r="AA51" s="20"/>
      <c r="AB51" s="20"/>
      <c r="AC51" s="20"/>
      <c r="AD51" s="20"/>
    </row>
    <row r="52" customFormat="false" ht="13.8" hidden="false" customHeight="false" outlineLevel="0" collapsed="false">
      <c r="E52" s="43"/>
      <c r="F52" s="43"/>
      <c r="G52" s="2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5">
    <mergeCell ref="B2:D2"/>
    <mergeCell ref="E2:L2"/>
    <mergeCell ref="B3:D3"/>
    <mergeCell ref="E3:L3"/>
    <mergeCell ref="B4:D4"/>
    <mergeCell ref="E4:J4"/>
    <mergeCell ref="C7:G7"/>
    <mergeCell ref="C13:G13"/>
    <mergeCell ref="C14:D14"/>
    <mergeCell ref="C15:D15"/>
    <mergeCell ref="C16:D16"/>
    <mergeCell ref="C19:H19"/>
    <mergeCell ref="C22:I22"/>
    <mergeCell ref="W22:Z22"/>
    <mergeCell ref="W26:W27"/>
    <mergeCell ref="X26:X27"/>
    <mergeCell ref="Z26:Z27"/>
    <mergeCell ref="AB26:AB27"/>
    <mergeCell ref="AC26:AC27"/>
    <mergeCell ref="W38:Z38"/>
    <mergeCell ref="W42:W43"/>
    <mergeCell ref="X42:X43"/>
    <mergeCell ref="Z42:Z43"/>
    <mergeCell ref="AB42:AB43"/>
    <mergeCell ref="AC42:AC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2020-08-19T07:14:12Z</dcterms:created>
  <dc:creator>Owner</dc:creator>
  <dc:description/>
  <dc:language>en-US</dc:language>
  <cp:lastModifiedBy/>
  <dcterms:modified xsi:type="dcterms:W3CDTF">2026-03-27T12:45:28Z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