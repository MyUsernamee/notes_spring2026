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arts 1 &amp; 2" sheetId="1" state="visible" r:id="rId3"/>
    <sheet name="Part 3" sheetId="2" state="visible" r:id="rId4"/>
    <sheet name="Question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<sst xmlns="http://schemas.openxmlformats.org/spreadsheetml/2006/main" count="75" uniqueCount="57">
  <si>
    <t xml:space="preserve">Name:  </t>
  </si>
  <si>
    <t xml:space="preserve">Delano Leslie</t>
  </si>
  <si>
    <t xml:space="preserve">Date:  </t>
  </si>
  <si>
    <t xml:space="preserve">02/25/26</t>
  </si>
  <si>
    <t xml:space="preserve">Table#:  </t>
  </si>
  <si>
    <t xml:space="preserve">Partner(s): </t>
  </si>
  <si>
    <t xml:space="preserve">Sean Robertson, Miguel Torres, William Rodas</t>
  </si>
  <si>
    <t xml:space="preserve">Constant Radius, Varied Voltage. r=6cm</t>
  </si>
  <si>
    <t xml:space="preserve">V(kv)</t>
  </si>
  <si>
    <r>
      <rPr>
        <sz val="12"/>
        <rFont val="Arial"/>
        <family val="2"/>
        <charset val="1"/>
      </rPr>
      <t xml:space="preserve">V^2(x10</t>
    </r>
    <r>
      <rPr>
        <vertAlign val="superscript"/>
        <sz val="12"/>
        <rFont val="Arial"/>
        <family val="2"/>
        <charset val="1"/>
      </rPr>
      <t xml:space="preserve">6</t>
    </r>
    <r>
      <rPr>
        <sz val="12"/>
        <rFont val="Arial"/>
        <family val="2"/>
        <charset val="1"/>
      </rPr>
      <t xml:space="preserve">V</t>
    </r>
    <r>
      <rPr>
        <vertAlign val="superscript"/>
        <sz val="12"/>
        <rFont val="Arial"/>
        <family val="2"/>
        <charset val="1"/>
      </rPr>
      <t xml:space="preserve">2)</t>
    </r>
  </si>
  <si>
    <r>
      <rPr>
        <sz val="12"/>
        <color theme="1"/>
        <rFont val="Standard Symbols PS"/>
        <family val="0"/>
      </rPr>
      <t xml:space="preserve">q</t>
    </r>
    <r>
      <rPr>
        <sz val="12"/>
        <color theme="1"/>
        <rFont val="Arial"/>
        <family val="2"/>
      </rPr>
      <t xml:space="preserve"> (deg)</t>
    </r>
  </si>
  <si>
    <t xml:space="preserve">Constant Voltage, Vary Radius V=6kV</t>
  </si>
  <si>
    <t xml:space="preserve">r (cm)</t>
  </si>
  <si>
    <r>
      <rPr>
        <sz val="12"/>
        <rFont val="Arial"/>
        <family val="2"/>
        <charset val="1"/>
      </rPr>
      <t xml:space="preserve">r</t>
    </r>
    <r>
      <rPr>
        <vertAlign val="superscript"/>
        <sz val="12"/>
        <rFont val="Arial"/>
        <family val="2"/>
        <charset val="1"/>
      </rPr>
      <t xml:space="preserve">-2</t>
    </r>
    <r>
      <rPr>
        <sz val="12"/>
        <rFont val="Arial"/>
        <family val="2"/>
        <charset val="1"/>
      </rPr>
      <t xml:space="preserve"> (m</t>
    </r>
    <r>
      <rPr>
        <vertAlign val="superscript"/>
        <sz val="12"/>
        <rFont val="Arial"/>
        <family val="2"/>
        <charset val="1"/>
      </rPr>
      <t xml:space="preserve">-2</t>
    </r>
    <r>
      <rPr>
        <sz val="12"/>
        <rFont val="Arial"/>
        <family val="2"/>
        <charset val="1"/>
      </rPr>
      <t xml:space="preserve">)</t>
    </r>
  </si>
  <si>
    <t xml:space="preserve">Name:</t>
  </si>
  <si>
    <t xml:space="preserve">Date:</t>
  </si>
  <si>
    <t xml:space="preserve">Torsion Force Calibration</t>
  </si>
  <si>
    <t xml:space="preserve">m (mg)</t>
  </si>
  <si>
    <r>
      <rPr>
        <sz val="12"/>
        <rFont val="Standard Symbols PS"/>
        <family val="0"/>
        <charset val="1"/>
      </rPr>
      <t xml:space="preserve">q</t>
    </r>
    <r>
      <rPr>
        <sz val="12"/>
        <rFont val="Arial"/>
        <family val="2"/>
        <charset val="1"/>
      </rPr>
      <t xml:space="preserve"> (deg)</t>
    </r>
  </si>
  <si>
    <r>
      <rPr>
        <sz val="12"/>
        <color theme="1"/>
        <rFont val="Calibri"/>
        <family val="2"/>
        <charset val="1"/>
      </rPr>
      <t xml:space="preserve">F (x10</t>
    </r>
    <r>
      <rPr>
        <vertAlign val="superscript"/>
        <sz val="12"/>
        <color theme="1"/>
        <rFont val="Calibri"/>
        <family val="2"/>
        <charset val="1"/>
      </rPr>
      <t xml:space="preserve">-6</t>
    </r>
    <r>
      <rPr>
        <sz val="12"/>
        <color theme="1"/>
        <rFont val="Calibri"/>
        <family val="2"/>
        <charset val="1"/>
      </rPr>
      <t xml:space="preserve">N)</t>
    </r>
  </si>
  <si>
    <t xml:space="preserve">Calculations</t>
  </si>
  <si>
    <t xml:space="preserve">Radius of each sphere:</t>
  </si>
  <si>
    <t xml:space="preserve">Calculate "k" using result of Part 1                                                                             r</t>
  </si>
  <si>
    <t xml:space="preserve">R  </t>
  </si>
  <si>
    <t xml:space="preserve">=</t>
  </si>
  <si>
    <t xml:space="preserve">cm</t>
  </si>
  <si>
    <t xml:space="preserve">k</t>
  </si>
  <si>
    <r>
      <rPr>
        <sz val="12"/>
        <color theme="1"/>
        <rFont val="Calibri"/>
        <family val="2"/>
        <charset val="1"/>
      </rPr>
      <t xml:space="preserve">R</t>
    </r>
    <r>
      <rPr>
        <vertAlign val="superscript"/>
        <sz val="12"/>
        <color theme="1"/>
        <rFont val="Calibri"/>
        <family val="2"/>
        <charset val="1"/>
      </rPr>
      <t xml:space="preserve">2</t>
    </r>
  </si>
  <si>
    <r>
      <rPr>
        <sz val="12"/>
        <color theme="1"/>
        <rFont val="Calibri"/>
        <family val="2"/>
        <charset val="1"/>
      </rPr>
      <t xml:space="preserve">(1.90 cm)</t>
    </r>
    <r>
      <rPr>
        <vertAlign val="superscript"/>
        <sz val="12"/>
        <color theme="1"/>
        <rFont val="Calibri"/>
        <family val="2"/>
        <charset val="1"/>
      </rPr>
      <t xml:space="preserve">2</t>
    </r>
  </si>
  <si>
    <r>
      <rPr>
        <sz val="12"/>
        <color theme="1"/>
        <rFont val="Calibri"/>
        <family val="2"/>
        <charset val="1"/>
      </rPr>
      <t xml:space="preserve">10</t>
    </r>
    <r>
      <rPr>
        <vertAlign val="superscript"/>
        <sz val="12"/>
        <color theme="1"/>
        <rFont val="Calibri"/>
        <family val="2"/>
        <charset val="1"/>
      </rPr>
      <t xml:space="preserve">9</t>
    </r>
    <r>
      <rPr>
        <sz val="12"/>
        <color theme="1"/>
        <rFont val="Calibri"/>
        <family val="2"/>
        <charset val="1"/>
      </rPr>
      <t xml:space="preserve"> V</t>
    </r>
    <r>
      <rPr>
        <vertAlign val="superscript"/>
        <sz val="12"/>
        <color theme="1"/>
        <rFont val="Calibri"/>
        <family val="2"/>
        <charset val="1"/>
      </rPr>
      <t xml:space="preserve">2</t>
    </r>
    <r>
      <rPr>
        <sz val="12"/>
        <color theme="1"/>
        <rFont val="Calibri"/>
        <family val="2"/>
        <charset val="1"/>
      </rPr>
      <t xml:space="preserve">/N</t>
    </r>
  </si>
  <si>
    <r>
      <rPr>
        <sz val="12"/>
        <color theme="1"/>
        <rFont val="Symbol"/>
        <family val="1"/>
        <charset val="2"/>
      </rPr>
      <t xml:space="preserve">a g</t>
    </r>
    <r>
      <rPr>
        <sz val="12"/>
        <color theme="1"/>
        <rFont val="Calibri"/>
        <family val="2"/>
        <charset val="1"/>
      </rPr>
      <t xml:space="preserve"> r</t>
    </r>
    <r>
      <rPr>
        <vertAlign val="superscript"/>
        <sz val="12"/>
        <color theme="1"/>
        <rFont val="Calibri"/>
        <family val="2"/>
        <charset val="1"/>
      </rPr>
      <t xml:space="preserve">2</t>
    </r>
  </si>
  <si>
    <r>
      <rPr>
        <sz val="12"/>
        <color theme="1"/>
        <rFont val="Calibri"/>
        <family val="2"/>
        <charset val="1"/>
      </rPr>
      <t xml:space="preserve">(0.63 deg/V</t>
    </r>
    <r>
      <rPr>
        <vertAlign val="superscript"/>
        <sz val="12"/>
        <color theme="1"/>
        <rFont val="Calibri"/>
        <family val="2"/>
        <charset val="1"/>
      </rPr>
      <t xml:space="preserve">2</t>
    </r>
    <r>
      <rPr>
        <sz val="12"/>
        <color theme="1"/>
        <rFont val="Calibri"/>
        <family val="2"/>
        <charset val="1"/>
      </rPr>
      <t xml:space="preserve">x10</t>
    </r>
    <r>
      <rPr>
        <vertAlign val="superscript"/>
        <sz val="12"/>
        <color theme="1"/>
        <rFont val="Calibri"/>
        <family val="2"/>
        <charset val="1"/>
      </rPr>
      <t xml:space="preserve">6</t>
    </r>
    <r>
      <rPr>
        <sz val="12"/>
        <color theme="1"/>
        <rFont val="Calibri"/>
        <family val="2"/>
        <charset val="1"/>
      </rPr>
      <t xml:space="preserve">)(1.33 deg/Nx10</t>
    </r>
    <r>
      <rPr>
        <vertAlign val="superscript"/>
        <sz val="12"/>
        <color theme="1"/>
        <rFont val="Calibri"/>
        <family val="2"/>
        <charset val="1"/>
      </rPr>
      <t xml:space="preserve">-6</t>
    </r>
    <r>
      <rPr>
        <sz val="12"/>
        <color theme="1"/>
        <rFont val="Calibri"/>
        <family val="2"/>
        <charset val="1"/>
      </rPr>
      <t xml:space="preserve">)(6.00 cm)</t>
    </r>
    <r>
      <rPr>
        <vertAlign val="superscript"/>
        <sz val="12"/>
        <color theme="1"/>
        <rFont val="Calibri"/>
        <family val="2"/>
        <charset val="1"/>
      </rPr>
      <t xml:space="preserve">2</t>
    </r>
  </si>
  <si>
    <t xml:space="preserve">N</t>
  </si>
  <si>
    <t xml:space="preserve">Sphere separation from Part 1:</t>
  </si>
  <si>
    <t xml:space="preserve">r   </t>
  </si>
  <si>
    <t xml:space="preserve">Calculate "k" using result of Part 2                                                                             V</t>
  </si>
  <si>
    <t xml:space="preserve">Slope of Graph from Part 1:</t>
  </si>
  <si>
    <r>
      <rPr>
        <sz val="12"/>
        <color theme="1"/>
        <rFont val="Calibri"/>
        <family val="2"/>
        <charset val="1"/>
      </rPr>
      <t xml:space="preserve">V</t>
    </r>
    <r>
      <rPr>
        <vertAlign val="superscript"/>
        <sz val="12"/>
        <color theme="1"/>
        <rFont val="Calibri"/>
        <family val="2"/>
        <charset val="1"/>
      </rPr>
      <t xml:space="preserve">2</t>
    </r>
    <r>
      <rPr>
        <sz val="12"/>
        <color theme="1"/>
        <rFont val="Calibri"/>
        <family val="2"/>
        <charset val="1"/>
      </rPr>
      <t xml:space="preserve"> R</t>
    </r>
    <r>
      <rPr>
        <vertAlign val="superscript"/>
        <sz val="12"/>
        <color theme="1"/>
        <rFont val="Calibri"/>
        <family val="2"/>
        <charset val="1"/>
      </rPr>
      <t xml:space="preserve">2</t>
    </r>
  </si>
  <si>
    <r>
      <rPr>
        <sz val="12"/>
        <color theme="1"/>
        <rFont val="Calibri"/>
        <family val="2"/>
        <charset val="1"/>
      </rPr>
      <t xml:space="preserve">(6x10</t>
    </r>
    <r>
      <rPr>
        <vertAlign val="superscript"/>
        <sz val="12"/>
        <color theme="1"/>
        <rFont val="Calibri"/>
        <family val="2"/>
        <charset val="1"/>
      </rPr>
      <t xml:space="preserve">3</t>
    </r>
    <r>
      <rPr>
        <sz val="12"/>
        <color theme="1"/>
        <rFont val="Calibri"/>
        <family val="2"/>
        <charset val="1"/>
      </rPr>
      <t xml:space="preserve"> V)</t>
    </r>
    <r>
      <rPr>
        <vertAlign val="superscript"/>
        <sz val="12"/>
        <color theme="1"/>
        <rFont val="Calibri"/>
        <family val="2"/>
        <charset val="1"/>
      </rPr>
      <t xml:space="preserve">2</t>
    </r>
    <r>
      <rPr>
        <sz val="12"/>
        <color theme="1"/>
        <rFont val="Calibri"/>
        <family val="2"/>
        <charset val="1"/>
      </rPr>
      <t xml:space="preserve">(1.90x10</t>
    </r>
    <r>
      <rPr>
        <vertAlign val="superscript"/>
        <sz val="12"/>
        <color theme="1"/>
        <rFont val="Calibri"/>
        <family val="2"/>
        <charset val="1"/>
      </rPr>
      <t xml:space="preserve">-2</t>
    </r>
    <r>
      <rPr>
        <sz val="12"/>
        <color theme="1"/>
        <rFont val="Calibri"/>
        <family val="2"/>
        <charset val="1"/>
      </rPr>
      <t xml:space="preserve"> m)</t>
    </r>
    <r>
      <rPr>
        <vertAlign val="superscript"/>
        <sz val="12"/>
        <color theme="1"/>
        <rFont val="Calibri"/>
        <family val="2"/>
        <charset val="1"/>
      </rPr>
      <t xml:space="preserve">2</t>
    </r>
  </si>
  <si>
    <r>
      <rPr>
        <sz val="12"/>
        <color theme="1"/>
        <rFont val="Calibri"/>
        <family val="2"/>
      </rPr>
      <t xml:space="preserve">10</t>
    </r>
    <r>
      <rPr>
        <vertAlign val="superscript"/>
        <sz val="12"/>
        <color theme="1"/>
        <rFont val="Calibri"/>
        <family val="2"/>
      </rPr>
      <t xml:space="preserve">9</t>
    </r>
    <r>
      <rPr>
        <sz val="12"/>
        <color theme="1"/>
        <rFont val="Calibri"/>
        <family val="2"/>
      </rPr>
      <t xml:space="preserve"> V</t>
    </r>
    <r>
      <rPr>
        <vertAlign val="superscript"/>
        <sz val="12"/>
        <color theme="1"/>
        <rFont val="Calibri"/>
        <family val="2"/>
      </rPr>
      <t xml:space="preserve">2</t>
    </r>
    <r>
      <rPr>
        <sz val="12"/>
        <color theme="1"/>
        <rFont val="Calibri"/>
        <family val="2"/>
      </rPr>
      <t xml:space="preserve">/N
</t>
    </r>
  </si>
  <si>
    <t xml:space="preserve">a  </t>
  </si>
  <si>
    <t xml:space="preserve">Deg / (V^2x10^6)</t>
  </si>
  <si>
    <r>
      <rPr>
        <sz val="12"/>
        <color theme="1"/>
        <rFont val="Symbol"/>
        <family val="1"/>
        <charset val="2"/>
      </rPr>
      <t xml:space="preserve">a</t>
    </r>
    <r>
      <rPr>
        <sz val="12"/>
        <color theme="1"/>
        <rFont val="DejaVu Sans"/>
        <family val="2"/>
        <charset val="1"/>
      </rPr>
      <t xml:space="preserve">ɣ</t>
    </r>
  </si>
  <si>
    <r>
      <rPr>
        <sz val="12"/>
        <color theme="1"/>
        <rFont val="Calibri"/>
        <family val="2"/>
        <charset val="1"/>
      </rPr>
      <t xml:space="preserve">(0.63 deg/m</t>
    </r>
    <r>
      <rPr>
        <vertAlign val="superscript"/>
        <sz val="12"/>
        <color theme="1"/>
        <rFont val="Calibri"/>
        <family val="2"/>
        <charset val="1"/>
      </rPr>
      <t xml:space="preserve">2</t>
    </r>
    <r>
      <rPr>
        <sz val="12"/>
        <color theme="1"/>
        <rFont val="Calibri"/>
        <family val="2"/>
        <charset val="1"/>
      </rPr>
      <t xml:space="preserve">)(1.33 Nx10</t>
    </r>
    <r>
      <rPr>
        <vertAlign val="superscript"/>
        <sz val="12"/>
        <color theme="1"/>
        <rFont val="Calibri"/>
        <family val="2"/>
        <charset val="1"/>
      </rPr>
      <t xml:space="preserve">-6</t>
    </r>
    <r>
      <rPr>
        <sz val="12"/>
        <color theme="1"/>
        <rFont val="Calibri"/>
        <family val="2"/>
        <charset val="1"/>
      </rPr>
      <t xml:space="preserve">/deg)</t>
    </r>
  </si>
  <si>
    <t xml:space="preserve">Potential from Part 2:</t>
  </si>
  <si>
    <t xml:space="preserve">V  </t>
  </si>
  <si>
    <t xml:space="preserve">V</t>
  </si>
  <si>
    <t xml:space="preserve">Slope of Graph from Part 2:</t>
  </si>
  <si>
    <t xml:space="preserve">b  </t>
  </si>
  <si>
    <r>
      <rPr>
        <sz val="12"/>
        <color theme="1"/>
        <rFont val="Calibri"/>
        <family val="2"/>
        <charset val="1"/>
      </rPr>
      <t xml:space="preserve">deg/m</t>
    </r>
    <r>
      <rPr>
        <vertAlign val="superscript"/>
        <sz val="12"/>
        <color theme="1"/>
        <rFont val="Calibri"/>
        <family val="2"/>
        <charset val="1"/>
      </rPr>
      <t xml:space="preserve">2</t>
    </r>
  </si>
  <si>
    <t xml:space="preserve">Slope of Graph from Part 3:</t>
  </si>
  <si>
    <t xml:space="preserve">g  </t>
  </si>
  <si>
    <r>
      <rPr>
        <sz val="12"/>
        <color theme="1"/>
        <rFont val="Calibri"/>
        <family val="2"/>
        <charset val="1"/>
      </rPr>
      <t xml:space="preserve">(Nx10</t>
    </r>
    <r>
      <rPr>
        <vertAlign val="superscript"/>
        <sz val="12"/>
        <color theme="1"/>
        <rFont val="Calibri"/>
        <family val="2"/>
        <charset val="1"/>
      </rPr>
      <t xml:space="preserve">-6</t>
    </r>
    <r>
      <rPr>
        <sz val="12"/>
        <color theme="1"/>
        <rFont val="Calibri"/>
        <family val="2"/>
        <charset val="1"/>
      </rPr>
      <t xml:space="preserve">)/deg</t>
    </r>
  </si>
  <si>
    <t xml:space="preserve">Questions</t>
  </si>
  <si>
    <t xml:space="preserve">1. We expect that all three of our graphs should form straight lines with a y-intercept of zero. How well did each graph conform to our expectations? </t>
  </si>
  <si>
    <t xml:space="preserve">2. Working with electric charge can be difficult because we can't see it and it can be affected by the simplest thing, like air molecules or the moisture in the air. Explain which of our graphs would be affected by the difficulty in measuring electric charge accurately, and which would not be affected.</t>
  </si>
  <si>
    <r>
      <rPr>
        <sz val="12"/>
        <color theme="1"/>
        <rFont val="Calibri"/>
        <family val="2"/>
        <charset val="1"/>
      </rPr>
      <t xml:space="preserve">3. We expected to find that the measured value of </t>
    </r>
    <r>
      <rPr>
        <i val="true"/>
        <sz val="12"/>
        <color theme="1"/>
        <rFont val="Calibri"/>
        <family val="2"/>
        <charset val="1"/>
      </rPr>
      <t xml:space="preserve">k</t>
    </r>
    <r>
      <rPr>
        <sz val="12"/>
        <color theme="1"/>
        <rFont val="Calibri"/>
        <family val="2"/>
        <charset val="1"/>
      </rPr>
      <t xml:space="preserve"> is </t>
    </r>
    <r>
      <rPr>
        <b val="true"/>
        <sz val="12"/>
        <color theme="1"/>
        <rFont val="Calibri"/>
        <family val="2"/>
        <charset val="1"/>
      </rPr>
      <t xml:space="preserve"> 8.99 x 10</t>
    </r>
    <r>
      <rPr>
        <b val="true"/>
        <vertAlign val="superscript"/>
        <sz val="12"/>
        <color theme="1"/>
        <rFont val="Calibri"/>
        <family val="2"/>
        <charset val="1"/>
      </rPr>
      <t xml:space="preserve">9</t>
    </r>
    <r>
      <rPr>
        <b val="true"/>
        <sz val="12"/>
        <color theme="1"/>
        <rFont val="Calibri"/>
        <family val="2"/>
        <charset val="1"/>
      </rPr>
      <t xml:space="preserve"> N-m</t>
    </r>
    <r>
      <rPr>
        <b val="true"/>
        <vertAlign val="superscript"/>
        <sz val="12"/>
        <color theme="1"/>
        <rFont val="Calibri"/>
        <family val="2"/>
        <charset val="1"/>
      </rPr>
      <t xml:space="preserve">2</t>
    </r>
    <r>
      <rPr>
        <b val="true"/>
        <sz val="12"/>
        <color theme="1"/>
        <rFont val="Calibri"/>
        <family val="2"/>
        <charset val="1"/>
      </rPr>
      <t xml:space="preserve">/C</t>
    </r>
    <r>
      <rPr>
        <b val="true"/>
        <vertAlign val="superscript"/>
        <sz val="12"/>
        <color theme="1"/>
        <rFont val="Calibri"/>
        <family val="2"/>
        <charset val="1"/>
      </rPr>
      <t xml:space="preserve">2</t>
    </r>
    <r>
      <rPr>
        <sz val="12"/>
        <color theme="1"/>
        <rFont val="Calibri"/>
        <family val="2"/>
        <charset val="1"/>
      </rPr>
      <t xml:space="preserve">. Were either of your two calculated values of </t>
    </r>
    <r>
      <rPr>
        <i val="true"/>
        <sz val="12"/>
        <color theme="1"/>
        <rFont val="Calibri"/>
        <family val="2"/>
        <charset val="1"/>
      </rPr>
      <t xml:space="preserve">k</t>
    </r>
    <r>
      <rPr>
        <sz val="12"/>
        <color theme="1"/>
        <rFont val="Calibri"/>
        <family val="2"/>
        <charset val="1"/>
      </rPr>
      <t xml:space="preserve"> close to the expected value? Were the two values close to each other? What can you conclude from your results?</t>
    </r>
  </si>
</sst>
</file>

<file path=xl/styles.xml><?xml version="1.0" encoding="utf-8"?>
<styleSheet xmlns="http://schemas.openxmlformats.org/spreadsheetml/2006/main">
  <numFmts count="8">
    <numFmt numFmtId="164" formatCode="General"/>
    <numFmt numFmtId="165" formatCode="@"/>
    <numFmt numFmtId="166" formatCode="0.0"/>
    <numFmt numFmtId="167" formatCode="0"/>
    <numFmt numFmtId="168" formatCode="0.00"/>
    <numFmt numFmtId="169" formatCode="0.000"/>
    <numFmt numFmtId="170" formatCode="0.0000"/>
    <numFmt numFmtId="171" formatCode="0.00000"/>
  </numFmts>
  <fonts count="27">
    <font>
      <sz val="11"/>
      <color theme="1"/>
      <name val="Calibri"/>
      <family val="2"/>
      <charset val="1"/>
    </font>
    <font>
      <sz val="10"/>
      <name val="Arial"/>
      <family val="0"/>
    </font>
    <font>
      <sz val="10"/>
      <name val="Arial"/>
      <family val="0"/>
    </font>
    <font>
      <sz val="10"/>
      <name val="Arial"/>
      <family val="0"/>
    </font>
    <font>
      <i val="true"/>
      <sz val="12"/>
      <color theme="1"/>
      <name val="Calibri"/>
      <family val="2"/>
      <charset val="1"/>
    </font>
    <font>
      <sz val="12"/>
      <color theme="1"/>
      <name val="Calibri"/>
      <family val="2"/>
      <charset val="1"/>
    </font>
    <font>
      <i val="true"/>
      <sz val="11"/>
      <color theme="1"/>
      <name val="Calibri"/>
      <family val="2"/>
      <charset val="1"/>
    </font>
    <font>
      <b val="true"/>
      <i val="true"/>
      <sz val="12"/>
      <color theme="1"/>
      <name val="Calibri"/>
      <family val="2"/>
      <charset val="1"/>
    </font>
    <font>
      <sz val="12"/>
      <name val="Arial"/>
      <family val="2"/>
      <charset val="1"/>
    </font>
    <font>
      <vertAlign val="superscript"/>
      <sz val="12"/>
      <name val="Arial"/>
      <family val="2"/>
      <charset val="1"/>
    </font>
    <font>
      <sz val="12"/>
      <color theme="1"/>
      <name val="Standard Symbols PS"/>
      <family val="0"/>
    </font>
    <font>
      <sz val="12"/>
      <color theme="1"/>
      <name val="Arial"/>
      <family val="2"/>
    </font>
    <font>
      <sz val="13"/>
      <name val="Arial"/>
      <family val="2"/>
    </font>
    <font>
      <sz val="10"/>
      <name val="Arial"/>
      <family val="2"/>
    </font>
    <font>
      <sz val="9"/>
      <name val="Arial"/>
      <family val="2"/>
    </font>
    <font>
      <sz val="12"/>
      <name val="Standard Symbols PS"/>
      <family val="0"/>
      <charset val="1"/>
    </font>
    <font>
      <vertAlign val="superscript"/>
      <sz val="12"/>
      <color theme="1"/>
      <name val="Calibri"/>
      <family val="2"/>
      <charset val="1"/>
    </font>
    <font>
      <b val="true"/>
      <sz val="12"/>
      <color theme="1"/>
      <name val="Calibri"/>
      <family val="2"/>
      <charset val="1"/>
    </font>
    <font>
      <b val="true"/>
      <i val="true"/>
      <sz val="14"/>
      <color theme="1"/>
      <name val="Calibri"/>
      <family val="2"/>
      <charset val="1"/>
    </font>
    <font>
      <sz val="14"/>
      <color theme="1"/>
      <name val="Calibri"/>
      <family val="2"/>
      <charset val="1"/>
    </font>
    <font>
      <sz val="12"/>
      <color theme="1"/>
      <name val="Symbol"/>
      <family val="1"/>
      <charset val="2"/>
    </font>
    <font>
      <sz val="12"/>
      <color theme="1"/>
      <name val="Calibri"/>
      <family val="2"/>
    </font>
    <font>
      <vertAlign val="superscript"/>
      <sz val="12"/>
      <color theme="1"/>
      <name val="Calibri"/>
      <family val="2"/>
    </font>
    <font>
      <sz val="12"/>
      <color theme="1"/>
      <name val=""/>
      <family val="1"/>
      <charset val="1"/>
    </font>
    <font>
      <sz val="14"/>
      <color theme="1"/>
      <name val="Symbol"/>
      <family val="1"/>
      <charset val="2"/>
    </font>
    <font>
      <sz val="12"/>
      <color theme="1"/>
      <name val="DejaVu Sans"/>
      <family val="2"/>
      <charset val="1"/>
    </font>
    <font>
      <b val="true"/>
      <vertAlign val="superscript"/>
      <sz val="12"/>
      <color theme="1"/>
      <name val="Calibri"/>
      <family val="2"/>
      <charset val="1"/>
    </font>
  </fonts>
  <fills count="2">
    <fill>
      <patternFill patternType="none"/>
    </fill>
    <fill>
      <patternFill patternType="gray125"/>
    </fill>
  </fills>
  <borders count="12">
    <border diagonalUp="false" diagonalDown="false">
      <left/>
      <right/>
      <top/>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5" fontId="4" fillId="0" borderId="1" xfId="0" applyFont="true" applyBorder="true" applyAlignment="true" applyProtection="false">
      <alignment horizontal="right" vertical="center" textRotation="0" wrapText="false" indent="0" shrinkToFit="false"/>
      <protection locked="true" hidden="false"/>
    </xf>
    <xf numFmtId="165" fontId="5" fillId="0" borderId="2"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right" vertical="center" textRotation="0" wrapText="false" indent="0" shrinkToFit="false"/>
      <protection locked="true" hidden="false"/>
    </xf>
    <xf numFmtId="165" fontId="0" fillId="0" borderId="2"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true" applyProtection="false">
      <alignment horizontal="center" vertical="center"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8" fillId="0" borderId="8" xfId="0" applyFont="true" applyBorder="true" applyAlignment="true" applyProtection="false">
      <alignment horizontal="center" vertical="center" textRotation="0" wrapText="false" indent="0" shrinkToFit="false"/>
      <protection locked="true" hidden="false"/>
    </xf>
    <xf numFmtId="164" fontId="10" fillId="0" borderId="8" xfId="0" applyFont="true" applyBorder="true" applyAlignment="true" applyProtection="false">
      <alignment horizontal="center" vertical="center" textRotation="0" wrapText="false" indent="0" shrinkToFit="false"/>
      <protection locked="true" hidden="false"/>
    </xf>
    <xf numFmtId="166" fontId="5" fillId="0" borderId="0" xfId="0" applyFont="true" applyBorder="false" applyAlignment="true" applyProtection="false">
      <alignment horizontal="center" vertical="center"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center" vertical="center" textRotation="0" wrapText="fals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6" fontId="5" fillId="0" borderId="8"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true" applyProtection="false">
      <alignment horizontal="center" vertical="center"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center" textRotation="0" wrapText="false" indent="0" shrinkToFit="false"/>
      <protection locked="true" hidden="false"/>
    </xf>
    <xf numFmtId="166" fontId="0" fillId="0" borderId="8" xfId="0" applyFont="fals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true" applyProtection="false">
      <alignment horizontal="center" vertical="center"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5" fontId="5" fillId="0" borderId="3" xfId="0" applyFont="true" applyBorder="true" applyAlignment="true" applyProtection="false">
      <alignment horizontal="center" vertical="center" textRotation="0" wrapText="false" indent="0" shrinkToFit="false"/>
      <protection locked="true" hidden="false"/>
    </xf>
    <xf numFmtId="165" fontId="5" fillId="0" borderId="5" xfId="0" applyFont="true" applyBorder="true" applyAlignment="true" applyProtection="false">
      <alignment horizontal="left" vertical="center" textRotation="0" wrapText="false" indent="0" shrinkToFit="false"/>
      <protection locked="true" hidden="false"/>
    </xf>
    <xf numFmtId="165" fontId="5" fillId="0" borderId="9" xfId="0" applyFont="true" applyBorder="true" applyAlignment="true" applyProtection="false">
      <alignment horizontal="center" vertical="center" textRotation="0" wrapText="false" indent="0" shrinkToFit="false"/>
      <protection locked="true" hidden="false"/>
    </xf>
    <xf numFmtId="165" fontId="5" fillId="0" borderId="10" xfId="0" applyFont="true" applyBorder="true" applyAlignment="true" applyProtection="false">
      <alignment horizontal="left" vertical="center" textRotation="0" wrapText="false" indent="0" shrinkToFit="false"/>
      <protection locked="true" hidden="false"/>
    </xf>
    <xf numFmtId="164" fontId="0" fillId="0" borderId="3"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true" applyProtection="false">
      <alignment horizontal="center" vertical="center"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true" applyProtection="false">
      <alignment horizontal="center" vertical="center" textRotation="0" wrapText="false" indent="0" shrinkToFit="false"/>
      <protection locked="true" hidden="false"/>
    </xf>
    <xf numFmtId="164" fontId="15" fillId="0" borderId="8"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left" vertical="center" textRotation="0" wrapText="false" indent="0" shrinkToFit="false"/>
      <protection locked="true" hidden="false"/>
    </xf>
    <xf numFmtId="164" fontId="6" fillId="0" borderId="4" xfId="0" applyFont="true" applyBorder="true" applyAlignment="true" applyProtection="false">
      <alignment horizontal="general" vertical="center" textRotation="0" wrapText="false" indent="0" shrinkToFit="false"/>
      <protection locked="true" hidden="false"/>
    </xf>
    <xf numFmtId="164" fontId="0" fillId="0" borderId="4" xfId="0" applyFont="false" applyBorder="true" applyAlignment="true" applyProtection="false">
      <alignment horizontal="left" vertical="center" textRotation="0" wrapText="false" indent="0" shrinkToFit="false"/>
      <protection locked="true" hidden="false"/>
    </xf>
    <xf numFmtId="164" fontId="0" fillId="0" borderId="5" xfId="0" applyFont="false" applyBorder="true" applyAlignment="true" applyProtection="false">
      <alignment horizontal="left" vertical="center"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6" xfId="0" applyFont="fals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left" vertical="center" textRotation="0" wrapText="false" indent="0" shrinkToFit="false"/>
      <protection locked="true" hidden="false"/>
    </xf>
    <xf numFmtId="164" fontId="0" fillId="0" borderId="7" xfId="0" applyFont="fals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8" fontId="5"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9" fontId="5"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70" fontId="5"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21" fillId="0" borderId="0"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right" vertical="center" textRotation="0" wrapText="false" indent="0" shrinkToFit="false"/>
      <protection locked="true" hidden="false"/>
    </xf>
    <xf numFmtId="171" fontId="5" fillId="0" borderId="0" xfId="0" applyFont="true" applyBorder="false" applyAlignment="true" applyProtection="false">
      <alignment horizontal="center" vertical="center" textRotation="0" wrapText="false" indent="0" shrinkToFit="false"/>
      <protection locked="true" hidden="false"/>
    </xf>
    <xf numFmtId="164" fontId="0" fillId="0" borderId="9" xfId="0" applyFont="false" applyBorder="true" applyAlignment="true" applyProtection="false">
      <alignment horizontal="left" vertical="center" textRotation="0" wrapText="false" indent="0" shrinkToFit="false"/>
      <protection locked="true" hidden="false"/>
    </xf>
    <xf numFmtId="164" fontId="5" fillId="0" borderId="8" xfId="0" applyFont="true" applyBorder="true" applyAlignment="true" applyProtection="false">
      <alignment horizontal="left" vertical="center" textRotation="0" wrapText="false" indent="0" shrinkToFit="false"/>
      <protection locked="true" hidden="false"/>
    </xf>
    <xf numFmtId="164" fontId="0" fillId="0" borderId="10" xfId="0" applyFont="false" applyBorder="true" applyAlignment="true" applyProtection="false">
      <alignment horizontal="left" vertical="center"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5" fontId="0" fillId="0" borderId="3" xfId="0" applyFont="true" applyBorder="true" applyAlignment="true" applyProtection="false">
      <alignment horizontal="center" vertical="center" textRotation="0" wrapText="false" indent="0" shrinkToFit="false"/>
      <protection locked="true" hidden="false"/>
    </xf>
    <xf numFmtId="165" fontId="0" fillId="0" borderId="5" xfId="0" applyFont="true" applyBorder="true" applyAlignment="true" applyProtection="false">
      <alignment horizontal="left" vertical="center" textRotation="0" wrapText="false" indent="0" shrinkToFit="false"/>
      <protection locked="true" hidden="false"/>
    </xf>
    <xf numFmtId="165" fontId="0" fillId="0" borderId="9" xfId="0" applyFont="true" applyBorder="true" applyAlignment="true" applyProtection="false">
      <alignment horizontal="center" vertical="center" textRotation="0" wrapText="false" indent="0" shrinkToFit="false"/>
      <protection locked="true" hidden="false"/>
    </xf>
    <xf numFmtId="165" fontId="0" fillId="0" borderId="10" xfId="0" applyFont="false" applyBorder="true" applyAlignment="true" applyProtection="false">
      <alignment horizontal="left" vertical="center" textRotation="0" wrapText="false" indent="0" shrinkToFit="false"/>
      <protection locked="true" hidden="false"/>
    </xf>
    <xf numFmtId="166" fontId="18" fillId="0" borderId="0" xfId="0" applyFont="true" applyBorder="true" applyAlignment="true" applyProtection="false">
      <alignment horizontal="left" vertical="center"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6" fontId="5" fillId="0" borderId="8" xfId="0" applyFont="true" applyBorder="true" applyAlignment="true" applyProtection="false">
      <alignment horizontal="left" vertical="center" textRotation="0" wrapText="true" indent="0" shrinkToFit="false"/>
      <protection locked="true" hidden="false"/>
    </xf>
    <xf numFmtId="166" fontId="5" fillId="0" borderId="11" xfId="0" applyFont="true" applyBorder="true" applyAlignment="true" applyProtection="false">
      <alignment horizontal="left" vertical="center" textRotation="0" wrapText="true" indent="0" shrinkToFit="false"/>
      <protection locked="true" hidden="false"/>
    </xf>
    <xf numFmtId="166" fontId="5"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uFillTx/>
                <a:latin typeface="Arial"/>
              </a:rPr>
              <a:t>r constant, vary "V"</a:t>
            </a:r>
          </a:p>
        </c:rich>
      </c:tx>
      <c:overlay val="0"/>
      <c:spPr>
        <a:noFill/>
        <a:ln w="0">
          <a:noFill/>
        </a:ln>
      </c:spPr>
    </c:title>
    <c:autoTitleDeleted val="0"/>
    <c:plotArea>
      <c:scatterChart>
        <c:scatterStyle val="lineMarker"/>
        <c:varyColors val="0"/>
        <c:ser>
          <c:idx val="0"/>
          <c:order val="0"/>
          <c:tx>
            <c:strRef>
              <c:f>'Parts 1 &amp; 2'!$H$10</c:f>
              <c:strCache>
                <c:ptCount val="1"/>
                <c:pt idx="0">
                  <c:v>q (deg)</c:v>
                </c:pt>
              </c:strCache>
            </c:strRef>
          </c:tx>
          <c:spPr>
            <a:solidFill>
              <a:srgbClr val="004586"/>
            </a:solidFill>
            <a:ln w="28800">
              <a:noFill/>
            </a:ln>
          </c:spPr>
          <c:marker>
            <c:symbol val="square"/>
            <c:size val="8"/>
            <c:spPr>
              <a:solidFill>
                <a:srgbClr val="004586"/>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noFill/>
                </a:ln>
              </c:spPr>
            </c:leaderLines>
            <c:extLst>
              <c:ext xmlns:c15="http://schemas.microsoft.com/office/drawing/2012/chart" uri="{CE6537A1-D6FC-4f65-9D91-7224C49458BB}">
                <c15:showLeaderLines val="1"/>
              </c:ext>
            </c:extLst>
          </c:dLbls>
          <c:trendline>
            <c:spPr>
              <a:ln w="0">
                <a:solidFill>
                  <a:srgbClr val="004586"/>
                </a:solidFill>
              </a:ln>
            </c:spPr>
            <c:trendlineType val="linear"/>
            <c:forward val="0"/>
            <c:backward val="0"/>
            <c:dispRSqr val="0"/>
            <c:dispEq val="1"/>
          </c:trendline>
          <c:xVal>
            <c:numRef>
              <c:f>'Parts 1 &amp; 2'!$F$11:$F$15</c:f>
              <c:numCache>
                <c:formatCode>0.0</c:formatCode>
                <c:ptCount val="5"/>
                <c:pt idx="0">
                  <c:v>4</c:v>
                </c:pt>
                <c:pt idx="1">
                  <c:v>9</c:v>
                </c:pt>
                <c:pt idx="2">
                  <c:v>16</c:v>
                </c:pt>
                <c:pt idx="3">
                  <c:v>25</c:v>
                </c:pt>
                <c:pt idx="4">
                  <c:v>36</c:v>
                </c:pt>
              </c:numCache>
            </c:numRef>
          </c:xVal>
          <c:yVal>
            <c:numRef>
              <c:f>'Parts 1 &amp; 2'!$H$11:$H$15</c:f>
              <c:numCache>
                <c:formatCode>0</c:formatCode>
                <c:ptCount val="5"/>
                <c:pt idx="0">
                  <c:v>2</c:v>
                </c:pt>
                <c:pt idx="1">
                  <c:v>5</c:v>
                </c:pt>
                <c:pt idx="2">
                  <c:v>8</c:v>
                </c:pt>
                <c:pt idx="3">
                  <c:v>15</c:v>
                </c:pt>
                <c:pt idx="4">
                  <c:v>22</c:v>
                </c:pt>
              </c:numCache>
            </c:numRef>
          </c:yVal>
          <c:smooth val="0"/>
        </c:ser>
        <c:axId val="57896219"/>
        <c:axId val="10721779"/>
      </c:scatterChart>
      <c:valAx>
        <c:axId val="57896219"/>
        <c:scaling>
          <c:orientation val="minMax"/>
        </c:scaling>
        <c:delete val="0"/>
        <c:axPos val="b"/>
        <c:title>
          <c:tx>
            <c:rich>
              <a:bodyPr rot="0"/>
              <a:lstStyle/>
              <a:p>
                <a:pPr>
                  <a:defRPr b="0" sz="1300" strike="noStrike" u="none">
                    <a:uFillTx/>
                    <a:latin typeface="Arial"/>
                  </a:defRPr>
                </a:pPr>
                <a:r>
                  <a:rPr b="0" sz="900" strike="noStrike" u="none">
                    <a:uFillTx/>
                    <a:latin typeface="Arial"/>
                  </a:rPr>
                  <a:t>V^2x10^6 (V^2)</a:t>
                </a:r>
              </a:p>
            </c:rich>
          </c:tx>
          <c:overlay val="0"/>
          <c:spPr>
            <a:noFill/>
            <a:ln w="0">
              <a:noFill/>
            </a:ln>
          </c:spPr>
        </c:title>
        <c:numFmt formatCode="0.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10721779"/>
        <c:crosses val="autoZero"/>
        <c:crossBetween val="between"/>
      </c:valAx>
      <c:valAx>
        <c:axId val="10721779"/>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uFillTx/>
                    <a:latin typeface="Arial"/>
                  </a:rPr>
                  <a:t>theta (deg)</a:t>
                </a:r>
              </a:p>
            </c:rich>
          </c:tx>
          <c:overlay val="0"/>
          <c:spPr>
            <a:noFill/>
            <a:ln w="0">
              <a:noFill/>
            </a:ln>
          </c:spPr>
        </c:title>
        <c:numFmt formatCode="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57896219"/>
        <c:crosses val="autoZero"/>
        <c:crossBetween val="between"/>
      </c:valAx>
      <c:spPr>
        <a:noFill/>
        <a:ln w="0">
          <a:solidFill>
            <a:srgbClr val="b3b3b3"/>
          </a:solidFill>
        </a:ln>
      </c:spPr>
    </c:plotArea>
    <c:plotVisOnly val="1"/>
    <c:dispBlanksAs val="span"/>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uFillTx/>
                <a:latin typeface="Arial"/>
              </a:rPr>
              <a:t>Constant "V", varying r</a:t>
            </a:r>
          </a:p>
        </c:rich>
      </c:tx>
      <c:overlay val="0"/>
      <c:spPr>
        <a:noFill/>
        <a:ln w="0">
          <a:noFill/>
        </a:ln>
      </c:spPr>
    </c:title>
    <c:autoTitleDeleted val="0"/>
    <c:plotArea>
      <c:scatterChart>
        <c:scatterStyle val="lineMarker"/>
        <c:varyColors val="0"/>
        <c:ser>
          <c:idx val="0"/>
          <c:order val="0"/>
          <c:tx>
            <c:strRef>
              <c:f>'Parts 1 &amp; 2'!$H$21</c:f>
              <c:strCache>
                <c:ptCount val="1"/>
                <c:pt idx="0">
                  <c:v>q (deg)</c:v>
                </c:pt>
              </c:strCache>
            </c:strRef>
          </c:tx>
          <c:spPr>
            <a:solidFill>
              <a:srgbClr val="004586"/>
            </a:solidFill>
            <a:ln w="28800">
              <a:noFill/>
            </a:ln>
          </c:spPr>
          <c:marker>
            <c:symbol val="square"/>
            <c:size val="8"/>
            <c:spPr>
              <a:solidFill>
                <a:srgbClr val="004586"/>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noFill/>
                </a:ln>
              </c:spPr>
            </c:leaderLines>
            <c:extLst>
              <c:ext xmlns:c15="http://schemas.microsoft.com/office/drawing/2012/chart" uri="{CE6537A1-D6FC-4f65-9D91-7224C49458BB}">
                <c15:showLeaderLines val="1"/>
              </c:ext>
            </c:extLst>
          </c:dLbls>
          <c:trendline>
            <c:spPr>
              <a:ln w="0">
                <a:solidFill>
                  <a:srgbClr val="004586"/>
                </a:solidFill>
              </a:ln>
            </c:spPr>
            <c:trendlineType val="linear"/>
            <c:forward val="0"/>
            <c:backward val="0"/>
            <c:dispRSqr val="0"/>
            <c:dispEq val="1"/>
          </c:trendline>
          <c:xVal>
            <c:numRef>
              <c:f>'Parts 1 &amp; 2'!$F$22:$F$28</c:f>
              <c:numCache>
                <c:formatCode>0.0</c:formatCode>
                <c:ptCount val="7"/>
                <c:pt idx="0">
                  <c:v>69.4444444444444</c:v>
                </c:pt>
                <c:pt idx="1">
                  <c:v>82.6446280991736</c:v>
                </c:pt>
                <c:pt idx="2">
                  <c:v>100</c:v>
                </c:pt>
                <c:pt idx="3">
                  <c:v>123.456790123457</c:v>
                </c:pt>
                <c:pt idx="4">
                  <c:v>156.25</c:v>
                </c:pt>
                <c:pt idx="5">
                  <c:v>204.081632653061</c:v>
                </c:pt>
                <c:pt idx="6">
                  <c:v>277.777777777778</c:v>
                </c:pt>
              </c:numCache>
            </c:numRef>
          </c:xVal>
          <c:yVal>
            <c:numRef>
              <c:f>'Parts 1 &amp; 2'!$H$22:$H$28</c:f>
              <c:numCache>
                <c:formatCode>0</c:formatCode>
                <c:ptCount val="7"/>
                <c:pt idx="0">
                  <c:v>4</c:v>
                </c:pt>
                <c:pt idx="1">
                  <c:v>8.5</c:v>
                </c:pt>
                <c:pt idx="2">
                  <c:v>6</c:v>
                </c:pt>
                <c:pt idx="3">
                  <c:v>11</c:v>
                </c:pt>
                <c:pt idx="4">
                  <c:v>16</c:v>
                </c:pt>
                <c:pt idx="5">
                  <c:v>20</c:v>
                </c:pt>
                <c:pt idx="6">
                  <c:v>21</c:v>
                </c:pt>
              </c:numCache>
            </c:numRef>
          </c:yVal>
          <c:smooth val="0"/>
        </c:ser>
        <c:axId val="93872143"/>
        <c:axId val="67701990"/>
      </c:scatterChart>
      <c:valAx>
        <c:axId val="93872143"/>
        <c:scaling>
          <c:orientation val="minMax"/>
        </c:scaling>
        <c:delete val="0"/>
        <c:axPos val="b"/>
        <c:title>
          <c:tx>
            <c:rich>
              <a:bodyPr rot="0"/>
              <a:lstStyle/>
              <a:p>
                <a:pPr>
                  <a:defRPr b="0" sz="1300" strike="noStrike" u="none">
                    <a:uFillTx/>
                    <a:latin typeface="Arial"/>
                  </a:defRPr>
                </a:pPr>
                <a:r>
                  <a:rPr b="0" sz="900" strike="noStrike" u="none">
                    <a:uFillTx/>
                    <a:latin typeface="Arial"/>
                  </a:rPr>
                  <a:t>r^-2 (m^-2)</a:t>
                </a:r>
              </a:p>
            </c:rich>
          </c:tx>
          <c:overlay val="0"/>
          <c:spPr>
            <a:noFill/>
            <a:ln w="0">
              <a:noFill/>
            </a:ln>
          </c:spPr>
        </c:title>
        <c:numFmt formatCode="0.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67701990"/>
        <c:crosses val="autoZero"/>
        <c:crossBetween val="between"/>
      </c:valAx>
      <c:valAx>
        <c:axId val="67701990"/>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uFillTx/>
                    <a:latin typeface="Arial"/>
                  </a:rPr>
                  <a:t>theta (deg)</a:t>
                </a:r>
              </a:p>
            </c:rich>
          </c:tx>
          <c:overlay val="0"/>
          <c:spPr>
            <a:noFill/>
            <a:ln w="0">
              <a:noFill/>
            </a:ln>
          </c:spPr>
        </c:title>
        <c:numFmt formatCode="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93872143"/>
        <c:crosses val="autoZero"/>
        <c:crossBetween val="between"/>
      </c:valAx>
      <c:spPr>
        <a:noFill/>
        <a:ln w="0">
          <a:solidFill>
            <a:srgbClr val="b3b3b3"/>
          </a:solidFill>
        </a:ln>
      </c:spPr>
    </c:plotArea>
    <c:plotVisOnly val="1"/>
    <c:dispBlanksAs val="span"/>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'Part 3'!$H$10</c:f>
              <c:strCache>
                <c:ptCount val="1"/>
                <c:pt idx="0">
                  <c:v>F (x10-6N)</c:v>
                </c:pt>
              </c:strCache>
            </c:strRef>
          </c:tx>
          <c:spPr>
            <a:solidFill>
              <a:srgbClr val="004586"/>
            </a:solidFill>
            <a:ln w="28800">
              <a:noFill/>
            </a:ln>
          </c:spPr>
          <c:marker>
            <c:symbol val="square"/>
            <c:size val="8"/>
            <c:spPr>
              <a:solidFill>
                <a:srgbClr val="004586"/>
              </a:solidFill>
            </c:spPr>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800">
                  <a:noFill/>
                </a:ln>
              </c:spPr>
            </c:leaderLines>
            <c:extLst>
              <c:ext xmlns:c15="http://schemas.microsoft.com/office/drawing/2012/chart" uri="{CE6537A1-D6FC-4f65-9D91-7224C49458BB}">
                <c15:showLeaderLines val="1"/>
              </c:ext>
            </c:extLst>
          </c:dLbls>
          <c:trendline>
            <c:spPr>
              <a:ln w="0">
                <a:solidFill>
                  <a:srgbClr val="004586"/>
                </a:solidFill>
              </a:ln>
            </c:spPr>
            <c:trendlineType val="linear"/>
            <c:forward val="0"/>
            <c:backward val="0"/>
            <c:dispRSqr val="0"/>
            <c:dispEq val="1"/>
          </c:trendline>
          <c:xVal>
            <c:numRef>
              <c:f>'Part 3'!$F$11:$F$15</c:f>
              <c:numCache>
                <c:formatCode>0</c:formatCode>
                <c:ptCount val="5"/>
                <c:pt idx="0">
                  <c:v>153</c:v>
                </c:pt>
                <c:pt idx="1">
                  <c:v>301</c:v>
                </c:pt>
                <c:pt idx="2">
                  <c:v>393</c:v>
                </c:pt>
                <c:pt idx="3">
                  <c:v>519</c:v>
                </c:pt>
                <c:pt idx="4">
                  <c:v>672</c:v>
                </c:pt>
              </c:numCache>
            </c:numRef>
          </c:xVal>
          <c:yVal>
            <c:numRef>
              <c:f>'Part 3'!$H$11:$H$15</c:f>
              <c:numCache>
                <c:formatCode>0</c:formatCode>
                <c:ptCount val="5"/>
                <c:pt idx="0">
                  <c:v>196</c:v>
                </c:pt>
                <c:pt idx="1">
                  <c:v>392</c:v>
                </c:pt>
                <c:pt idx="2">
                  <c:v>490</c:v>
                </c:pt>
                <c:pt idx="3">
                  <c:v>686</c:v>
                </c:pt>
                <c:pt idx="4">
                  <c:v>882</c:v>
                </c:pt>
              </c:numCache>
            </c:numRef>
          </c:yVal>
          <c:smooth val="0"/>
        </c:ser>
        <c:axId val="77635213"/>
        <c:axId val="9024364"/>
      </c:scatterChart>
      <c:valAx>
        <c:axId val="77635213"/>
        <c:scaling>
          <c:orientation val="minMax"/>
        </c:scaling>
        <c:delete val="0"/>
        <c:axPos val="b"/>
        <c:title>
          <c:tx>
            <c:rich>
              <a:bodyPr rot="0"/>
              <a:lstStyle/>
              <a:p>
                <a:pPr>
                  <a:defRPr b="0" sz="1300" strike="noStrike" u="none">
                    <a:uFillTx/>
                    <a:latin typeface="Arial"/>
                  </a:defRPr>
                </a:pPr>
                <a:r>
                  <a:rPr b="0" sz="900" strike="noStrike" u="none">
                    <a:uFillTx/>
                    <a:latin typeface="Arial"/>
                  </a:rPr>
                  <a:t>theta (deg)</a:t>
                </a:r>
              </a:p>
            </c:rich>
          </c:tx>
          <c:overlay val="0"/>
          <c:spPr>
            <a:noFill/>
            <a:ln w="0">
              <a:noFill/>
            </a:ln>
          </c:spPr>
        </c:title>
        <c:numFmt formatCode="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9024364"/>
        <c:crosses val="autoZero"/>
        <c:crossBetween val="between"/>
      </c:valAx>
      <c:valAx>
        <c:axId val="9024364"/>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uFillTx/>
                    <a:latin typeface="Arial"/>
                  </a:rPr>
                  <a:t>F(x10^-6 N)</a:t>
                </a:r>
              </a:p>
            </c:rich>
          </c:tx>
          <c:overlay val="0"/>
          <c:spPr>
            <a:noFill/>
            <a:ln w="0">
              <a:noFill/>
            </a:ln>
          </c:spPr>
        </c:title>
        <c:numFmt formatCode="0" sourceLinked="1"/>
        <c:majorTickMark val="out"/>
        <c:minorTickMark val="none"/>
        <c:tickLblPos val="nextTo"/>
        <c:spPr>
          <a:ln w="0">
            <a:solidFill>
              <a:srgbClr val="b3b3b3"/>
            </a:solidFill>
          </a:ln>
        </c:spPr>
        <c:txPr>
          <a:bodyPr/>
          <a:lstStyle/>
          <a:p>
            <a:pPr>
              <a:defRPr b="0" sz="1000" strike="noStrike" u="none">
                <a:uFillTx/>
                <a:latin typeface="Arial"/>
              </a:defRPr>
            </a:pPr>
          </a:p>
        </c:txPr>
        <c:crossAx val="77635213"/>
        <c:crosses val="autoZero"/>
        <c:crossBetween val="between"/>
      </c:valAx>
      <c:spPr>
        <a:noFill/>
        <a:ln w="0">
          <a:solidFill>
            <a:srgbClr val="b3b3b3"/>
          </a:solidFill>
        </a:ln>
      </c:spPr>
    </c:plotArea>
    <c:plotVisOnly val="1"/>
    <c:dispBlanksAs val="span"/>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286560</xdr:colOff>
      <xdr:row>6</xdr:row>
      <xdr:rowOff>47520</xdr:rowOff>
    </xdr:from>
    <xdr:to>
      <xdr:col>17</xdr:col>
      <xdr:colOff>499320</xdr:colOff>
      <xdr:row>15</xdr:row>
      <xdr:rowOff>66960</xdr:rowOff>
    </xdr:to>
    <xdr:graphicFrame>
      <xdr:nvGraphicFramePr>
        <xdr:cNvPr id="0" name=""/>
        <xdr:cNvGraphicFramePr/>
      </xdr:nvGraphicFramePr>
      <xdr:xfrm>
        <a:off x="4202640" y="1104840"/>
        <a:ext cx="4835520" cy="2400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308160</xdr:colOff>
      <xdr:row>16</xdr:row>
      <xdr:rowOff>191160</xdr:rowOff>
    </xdr:from>
    <xdr:to>
      <xdr:col>17</xdr:col>
      <xdr:colOff>500040</xdr:colOff>
      <xdr:row>26</xdr:row>
      <xdr:rowOff>276480</xdr:rowOff>
    </xdr:to>
    <xdr:graphicFrame>
      <xdr:nvGraphicFramePr>
        <xdr:cNvPr id="1" name=""/>
        <xdr:cNvGraphicFramePr/>
      </xdr:nvGraphicFramePr>
      <xdr:xfrm>
        <a:off x="4224240" y="3753360"/>
        <a:ext cx="4814640" cy="27046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103320</xdr:colOff>
      <xdr:row>6</xdr:row>
      <xdr:rowOff>10440</xdr:rowOff>
    </xdr:from>
    <xdr:to>
      <xdr:col>16</xdr:col>
      <xdr:colOff>2505240</xdr:colOff>
      <xdr:row>15</xdr:row>
      <xdr:rowOff>76320</xdr:rowOff>
    </xdr:to>
    <xdr:graphicFrame>
      <xdr:nvGraphicFramePr>
        <xdr:cNvPr id="2" name=""/>
        <xdr:cNvGraphicFramePr/>
      </xdr:nvGraphicFramePr>
      <xdr:xfrm>
        <a:off x="3859200" y="1067760"/>
        <a:ext cx="4858200" cy="2732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2" activeCellId="0" sqref="H22"/>
    </sheetView>
  </sheetViews>
  <sheetFormatPr defaultColWidth="8.6796875" defaultRowHeight="15" customHeight="true" zeroHeight="false" outlineLevelRow="0" outlineLevelCol="0"/>
  <cols>
    <col collapsed="false" customWidth="true" hidden="false" outlineLevel="0" max="1" min="1" style="0" width="2.29"/>
    <col collapsed="false" customWidth="true" hidden="false" outlineLevel="0" max="2" min="2" style="0" width="2"/>
    <col collapsed="false" customWidth="true" hidden="false" outlineLevel="0" max="3" min="3" style="0" width="2.15"/>
    <col collapsed="false" customWidth="true" hidden="false" outlineLevel="0" max="4" min="4" style="0" width="12.71"/>
    <col collapsed="false" customWidth="true" hidden="false" outlineLevel="0" max="5" min="5" style="0" width="4.42"/>
    <col collapsed="false" customWidth="true" hidden="false" outlineLevel="0" max="6" min="6" style="0" width="12.71"/>
    <col collapsed="false" customWidth="true" hidden="false" outlineLevel="0" max="7" min="7" style="0" width="4.42"/>
    <col collapsed="false" customWidth="true" hidden="false" outlineLevel="0" max="8" min="8" style="0" width="12.71"/>
    <col collapsed="false" customWidth="true" hidden="false" outlineLevel="0" max="9" min="9" style="0" width="2.15"/>
    <col collapsed="false" customWidth="true" hidden="false" outlineLevel="0" max="10" min="10" style="0" width="4.86"/>
  </cols>
  <sheetData>
    <row r="1" customFormat="false" ht="8.25" hidden="false" customHeight="true" outlineLevel="0" collapsed="false"/>
    <row r="2" customFormat="false" ht="7.5" hidden="false" customHeight="true" outlineLevel="0" collapsed="false"/>
    <row r="3" customFormat="false" ht="26.25" hidden="false" customHeight="true" outlineLevel="0" collapsed="false">
      <c r="B3" s="1"/>
      <c r="C3" s="2" t="s">
        <v>0</v>
      </c>
      <c r="D3" s="2"/>
      <c r="E3" s="3" t="s">
        <v>1</v>
      </c>
      <c r="F3" s="3"/>
      <c r="G3" s="3"/>
      <c r="H3" s="3"/>
      <c r="I3" s="3"/>
      <c r="J3" s="3"/>
      <c r="K3" s="4" t="s">
        <v>2</v>
      </c>
      <c r="L3" s="5" t="s">
        <v>3</v>
      </c>
      <c r="M3" s="5"/>
      <c r="N3" s="4" t="s">
        <v>4</v>
      </c>
      <c r="O3" s="6" t="n">
        <v>3</v>
      </c>
    </row>
    <row r="4" customFormat="false" ht="26.25" hidden="false" customHeight="true" outlineLevel="0" collapsed="false">
      <c r="B4" s="1"/>
      <c r="C4" s="2" t="s">
        <v>5</v>
      </c>
      <c r="D4" s="2"/>
      <c r="E4" s="3" t="s">
        <v>6</v>
      </c>
      <c r="F4" s="3"/>
      <c r="G4" s="3"/>
      <c r="H4" s="3"/>
      <c r="I4" s="3"/>
      <c r="J4" s="3"/>
      <c r="K4" s="3"/>
      <c r="L4" s="3"/>
      <c r="M4" s="3"/>
      <c r="N4" s="3"/>
      <c r="O4" s="3"/>
    </row>
    <row r="5" customFormat="false" ht="7.5" hidden="false" customHeight="true" outlineLevel="0" collapsed="false">
      <c r="C5" s="7"/>
      <c r="D5" s="7"/>
      <c r="E5" s="7"/>
      <c r="F5" s="7"/>
      <c r="G5" s="7"/>
      <c r="H5" s="7"/>
    </row>
    <row r="6" customFormat="false" ht="7.5" hidden="false" customHeight="true" outlineLevel="0" collapsed="false">
      <c r="C6" s="7"/>
      <c r="D6" s="7"/>
      <c r="E6" s="7"/>
      <c r="F6" s="7"/>
      <c r="G6" s="7"/>
      <c r="H6" s="7"/>
    </row>
    <row r="7" customFormat="false" ht="9.75" hidden="false" customHeight="true" outlineLevel="0" collapsed="false">
      <c r="C7" s="8"/>
      <c r="D7" s="9"/>
      <c r="E7" s="9"/>
      <c r="F7" s="9"/>
      <c r="G7" s="10"/>
      <c r="H7" s="10"/>
      <c r="I7" s="11"/>
    </row>
    <row r="8" customFormat="false" ht="24" hidden="false" customHeight="true" outlineLevel="0" collapsed="false">
      <c r="C8" s="12"/>
      <c r="D8" s="13" t="s">
        <v>7</v>
      </c>
      <c r="E8" s="13"/>
      <c r="F8" s="13"/>
      <c r="G8" s="13"/>
      <c r="H8" s="13"/>
      <c r="I8" s="14"/>
    </row>
    <row r="9" customFormat="false" ht="9.75" hidden="false" customHeight="true" outlineLevel="0" collapsed="false">
      <c r="C9" s="12"/>
      <c r="D9" s="15"/>
      <c r="E9" s="15"/>
      <c r="F9" s="15"/>
      <c r="G9" s="7"/>
      <c r="H9" s="7"/>
      <c r="I9" s="14"/>
    </row>
    <row r="10" customFormat="false" ht="24" hidden="false" customHeight="true" outlineLevel="0" collapsed="false">
      <c r="C10" s="12"/>
      <c r="D10" s="16" t="s">
        <v>8</v>
      </c>
      <c r="E10" s="15"/>
      <c r="F10" s="17" t="s">
        <v>9</v>
      </c>
      <c r="G10" s="7"/>
      <c r="H10" s="18" t="s">
        <v>10</v>
      </c>
      <c r="I10" s="14"/>
    </row>
    <row r="11" customFormat="false" ht="24" hidden="false" customHeight="true" outlineLevel="0" collapsed="false">
      <c r="C11" s="12"/>
      <c r="D11" s="19" t="n">
        <v>2</v>
      </c>
      <c r="E11" s="19"/>
      <c r="F11" s="19" t="n">
        <f aca="false">POWER(D11,2)</f>
        <v>4</v>
      </c>
      <c r="G11" s="20"/>
      <c r="H11" s="21" t="n">
        <v>2</v>
      </c>
      <c r="I11" s="14"/>
    </row>
    <row r="12" customFormat="false" ht="24" hidden="false" customHeight="true" outlineLevel="0" collapsed="false">
      <c r="C12" s="12"/>
      <c r="D12" s="19" t="n">
        <v>3</v>
      </c>
      <c r="E12" s="19"/>
      <c r="F12" s="19" t="n">
        <f aca="false">POWER(D12,2)</f>
        <v>9</v>
      </c>
      <c r="G12" s="20"/>
      <c r="H12" s="21" t="n">
        <v>5</v>
      </c>
      <c r="I12" s="14"/>
    </row>
    <row r="13" customFormat="false" ht="24" hidden="false" customHeight="true" outlineLevel="0" collapsed="false">
      <c r="C13" s="12"/>
      <c r="D13" s="19" t="n">
        <v>4</v>
      </c>
      <c r="E13" s="19"/>
      <c r="F13" s="19" t="n">
        <f aca="false">POWER(D13,2)</f>
        <v>16</v>
      </c>
      <c r="G13" s="20"/>
      <c r="H13" s="21" t="n">
        <v>8</v>
      </c>
      <c r="I13" s="14"/>
    </row>
    <row r="14" customFormat="false" ht="24" hidden="false" customHeight="true" outlineLevel="0" collapsed="false">
      <c r="C14" s="12"/>
      <c r="D14" s="19" t="n">
        <v>5</v>
      </c>
      <c r="E14" s="19"/>
      <c r="F14" s="19" t="n">
        <f aca="false">POWER(D14,2)</f>
        <v>25</v>
      </c>
      <c r="G14" s="20"/>
      <c r="H14" s="21" t="n">
        <v>15</v>
      </c>
      <c r="I14" s="14"/>
    </row>
    <row r="15" customFormat="false" ht="24" hidden="false" customHeight="true" outlineLevel="0" collapsed="false">
      <c r="C15" s="12"/>
      <c r="D15" s="19" t="n">
        <v>6</v>
      </c>
      <c r="E15" s="19"/>
      <c r="F15" s="19" t="n">
        <f aca="false">POWER(D15,2)</f>
        <v>36</v>
      </c>
      <c r="G15" s="20"/>
      <c r="H15" s="21" t="n">
        <v>22</v>
      </c>
      <c r="I15" s="14"/>
    </row>
    <row r="16" customFormat="false" ht="9.75" hidden="false" customHeight="true" outlineLevel="0" collapsed="false">
      <c r="C16" s="22"/>
      <c r="D16" s="23"/>
      <c r="E16" s="24"/>
      <c r="F16" s="24"/>
      <c r="G16" s="25"/>
      <c r="H16" s="25"/>
      <c r="I16" s="26"/>
    </row>
    <row r="17" customFormat="false" ht="18.75" hidden="false" customHeight="true" outlineLevel="0" collapsed="false">
      <c r="C17" s="7"/>
      <c r="D17" s="19"/>
      <c r="E17" s="7"/>
      <c r="F17" s="15"/>
      <c r="G17" s="7"/>
      <c r="H17" s="7"/>
    </row>
    <row r="18" customFormat="false" ht="9.75" hidden="false" customHeight="true" outlineLevel="0" collapsed="false">
      <c r="C18" s="8"/>
      <c r="D18" s="9"/>
      <c r="E18" s="9"/>
      <c r="F18" s="9"/>
      <c r="G18" s="10"/>
      <c r="H18" s="10"/>
      <c r="I18" s="11"/>
    </row>
    <row r="19" customFormat="false" ht="24" hidden="false" customHeight="true" outlineLevel="0" collapsed="false">
      <c r="C19" s="12"/>
      <c r="D19" s="13" t="s">
        <v>11</v>
      </c>
      <c r="E19" s="13"/>
      <c r="F19" s="13"/>
      <c r="G19" s="13"/>
      <c r="H19" s="13"/>
      <c r="I19" s="14"/>
    </row>
    <row r="20" customFormat="false" ht="9.75" hidden="false" customHeight="true" outlineLevel="0" collapsed="false">
      <c r="C20" s="12"/>
      <c r="D20" s="15"/>
      <c r="E20" s="15"/>
      <c r="F20" s="15"/>
      <c r="G20" s="7"/>
      <c r="H20" s="7"/>
      <c r="I20" s="14"/>
    </row>
    <row r="21" customFormat="false" ht="24" hidden="false" customHeight="true" outlineLevel="0" collapsed="false">
      <c r="C21" s="12"/>
      <c r="D21" s="16" t="s">
        <v>12</v>
      </c>
      <c r="E21" s="15"/>
      <c r="F21" s="16" t="s">
        <v>13</v>
      </c>
      <c r="G21" s="7"/>
      <c r="H21" s="18" t="s">
        <v>10</v>
      </c>
      <c r="I21" s="14"/>
    </row>
    <row r="22" customFormat="false" ht="24" hidden="false" customHeight="true" outlineLevel="0" collapsed="false">
      <c r="C22" s="12"/>
      <c r="D22" s="21" t="n">
        <v>12</v>
      </c>
      <c r="E22" s="19"/>
      <c r="F22" s="19" t="n">
        <f aca="false">POWER(D22/100, -2)</f>
        <v>69.4444444444444</v>
      </c>
      <c r="G22" s="20"/>
      <c r="H22" s="21" t="n">
        <v>4</v>
      </c>
      <c r="I22" s="14"/>
    </row>
    <row r="23" customFormat="false" ht="24" hidden="false" customHeight="true" outlineLevel="0" collapsed="false">
      <c r="C23" s="12"/>
      <c r="D23" s="21" t="n">
        <v>11</v>
      </c>
      <c r="E23" s="19"/>
      <c r="F23" s="19" t="n">
        <f aca="false">POWER(D23/100, -2)</f>
        <v>82.6446280991736</v>
      </c>
      <c r="G23" s="20"/>
      <c r="H23" s="21" t="n">
        <v>8.5</v>
      </c>
      <c r="I23" s="14"/>
    </row>
    <row r="24" customFormat="false" ht="24" hidden="false" customHeight="true" outlineLevel="0" collapsed="false">
      <c r="C24" s="12"/>
      <c r="D24" s="21" t="n">
        <v>10</v>
      </c>
      <c r="E24" s="19"/>
      <c r="F24" s="19" t="n">
        <f aca="false">POWER(D24/100, -2)</f>
        <v>100</v>
      </c>
      <c r="G24" s="20"/>
      <c r="H24" s="21" t="n">
        <v>6</v>
      </c>
      <c r="I24" s="14"/>
    </row>
    <row r="25" customFormat="false" ht="24" hidden="false" customHeight="true" outlineLevel="0" collapsed="false">
      <c r="C25" s="12"/>
      <c r="D25" s="21" t="n">
        <v>9</v>
      </c>
      <c r="E25" s="19"/>
      <c r="F25" s="19" t="n">
        <f aca="false">POWER(D25/100, -2)</f>
        <v>123.456790123457</v>
      </c>
      <c r="G25" s="20"/>
      <c r="H25" s="21" t="n">
        <v>11</v>
      </c>
      <c r="I25" s="14"/>
    </row>
    <row r="26" customFormat="false" ht="24" hidden="false" customHeight="true" outlineLevel="0" collapsed="false">
      <c r="C26" s="12"/>
      <c r="D26" s="21" t="n">
        <v>8</v>
      </c>
      <c r="E26" s="19"/>
      <c r="F26" s="19" t="n">
        <f aca="false">POWER(D26/100, -2)</f>
        <v>156.25</v>
      </c>
      <c r="G26" s="20"/>
      <c r="H26" s="21" t="n">
        <v>16</v>
      </c>
      <c r="I26" s="14"/>
    </row>
    <row r="27" customFormat="false" ht="24" hidden="false" customHeight="true" outlineLevel="0" collapsed="false">
      <c r="C27" s="12"/>
      <c r="D27" s="21" t="n">
        <v>7</v>
      </c>
      <c r="E27" s="19"/>
      <c r="F27" s="19" t="n">
        <f aca="false">POWER(D27/100, -2)</f>
        <v>204.081632653061</v>
      </c>
      <c r="G27" s="20"/>
      <c r="H27" s="21" t="n">
        <v>20</v>
      </c>
      <c r="I27" s="14"/>
    </row>
    <row r="28" customFormat="false" ht="24" hidden="false" customHeight="true" outlineLevel="0" collapsed="false">
      <c r="C28" s="12"/>
      <c r="D28" s="21" t="n">
        <v>6</v>
      </c>
      <c r="E28" s="19"/>
      <c r="F28" s="19" t="n">
        <f aca="false">POWER(D28/100, -2)</f>
        <v>277.777777777778</v>
      </c>
      <c r="G28" s="20"/>
      <c r="H28" s="21" t="n">
        <v>21</v>
      </c>
      <c r="I28" s="14"/>
    </row>
    <row r="29" customFormat="false" ht="9.75" hidden="false" customHeight="true" outlineLevel="0" collapsed="false">
      <c r="C29" s="27"/>
      <c r="D29" s="28"/>
      <c r="E29" s="29"/>
      <c r="F29" s="29"/>
      <c r="G29" s="30"/>
      <c r="H29" s="30"/>
      <c r="I29" s="26"/>
    </row>
    <row r="1048576" customFormat="false" ht="12.8" hidden="false" customHeight="false" outlineLevel="0" collapsed="false"/>
  </sheetData>
  <mergeCells count="7">
    <mergeCell ref="C3:D3"/>
    <mergeCell ref="E3:J3"/>
    <mergeCell ref="L3:M3"/>
    <mergeCell ref="C4:D4"/>
    <mergeCell ref="E4:O4"/>
    <mergeCell ref="D8:H8"/>
    <mergeCell ref="D19:H1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U40"/>
  <sheetViews>
    <sheetView showFormulas="false" showGridLines="true" showRowColHeaders="true" showZeros="true" rightToLeft="false" tabSelected="true" showOutlineSymbols="true" defaultGridColor="true" view="normal" topLeftCell="C14" colorId="64" zoomScale="100" zoomScaleNormal="100" zoomScalePageLayoutView="100" workbookViewId="0">
      <selection pane="topLeft" activeCell="S25" activeCellId="0" sqref="S25"/>
    </sheetView>
  </sheetViews>
  <sheetFormatPr defaultColWidth="8.6796875" defaultRowHeight="15" customHeight="true" zeroHeight="false" outlineLevelRow="0" outlineLevelCol="0"/>
  <cols>
    <col collapsed="false" customWidth="true" hidden="false" outlineLevel="0" max="1" min="1" style="0" width="2.29"/>
    <col collapsed="false" customWidth="true" hidden="false" outlineLevel="0" max="2" min="2" style="0" width="2"/>
    <col collapsed="false" customWidth="true" hidden="false" outlineLevel="0" max="3" min="3" style="0" width="2.15"/>
    <col collapsed="false" customWidth="true" hidden="false" outlineLevel="0" max="4" min="4" style="0" width="12.71"/>
    <col collapsed="false" customWidth="true" hidden="false" outlineLevel="0" max="5" min="5" style="0" width="3.29"/>
    <col collapsed="false" customWidth="true" hidden="false" outlineLevel="0" max="6" min="6" style="0" width="12.71"/>
    <col collapsed="false" customWidth="true" hidden="false" outlineLevel="0" max="7" min="7" style="0" width="3.29"/>
    <col collapsed="false" customWidth="true" hidden="false" outlineLevel="0" max="8" min="8" style="0" width="12.71"/>
    <col collapsed="false" customWidth="true" hidden="false" outlineLevel="0" max="9" min="9" style="0" width="2.15"/>
    <col collapsed="false" customWidth="true" hidden="false" outlineLevel="0" max="11" min="10" style="0" width="4.86"/>
    <col collapsed="false" customWidth="true" hidden="false" outlineLevel="0" max="12" min="12" style="31" width="2.15"/>
    <col collapsed="false" customWidth="true" hidden="false" outlineLevel="0" max="13" min="13" style="31" width="4.71"/>
    <col collapsed="false" customWidth="true" hidden="false" outlineLevel="0" max="14" min="14" style="31" width="3.71"/>
    <col collapsed="false" customWidth="true" hidden="false" outlineLevel="0" max="15" min="15" style="31" width="10.71"/>
    <col collapsed="false" customWidth="true" hidden="false" outlineLevel="0" max="16" min="16" style="31" width="3.86"/>
    <col collapsed="false" customWidth="true" hidden="false" outlineLevel="0" max="17" min="17" style="31" width="51"/>
    <col collapsed="false" customWidth="true" hidden="false" outlineLevel="0" max="18" min="18" style="31" width="4.29"/>
    <col collapsed="false" customWidth="true" hidden="false" outlineLevel="0" max="19" min="19" style="31" width="10.14"/>
    <col collapsed="false" customWidth="true" hidden="false" outlineLevel="0" max="20" min="20" style="31" width="12.29"/>
    <col collapsed="false" customWidth="true" hidden="false" outlineLevel="0" max="21" min="21" style="31" width="2.15"/>
    <col collapsed="false" customWidth="true" hidden="false" outlineLevel="0" max="23" min="22" style="31" width="9.14"/>
  </cols>
  <sheetData>
    <row r="1" customFormat="false" ht="8.25" hidden="false" customHeight="true" outlineLevel="0" collapsed="false"/>
    <row r="2" customFormat="false" ht="7.5" hidden="false" customHeight="true" outlineLevel="0" collapsed="false"/>
    <row r="3" customFormat="false" ht="26.25" hidden="false" customHeight="true" outlineLevel="0" collapsed="false">
      <c r="B3" s="1"/>
      <c r="C3" s="32" t="s">
        <v>14</v>
      </c>
      <c r="D3" s="32"/>
      <c r="E3" s="33" t="s">
        <v>1</v>
      </c>
      <c r="F3" s="33"/>
      <c r="G3" s="33"/>
      <c r="H3" s="33"/>
    </row>
    <row r="4" customFormat="false" ht="26.25" hidden="false" customHeight="true" outlineLevel="0" collapsed="false">
      <c r="B4" s="1"/>
      <c r="C4" s="34" t="s">
        <v>15</v>
      </c>
      <c r="D4" s="34"/>
      <c r="E4" s="35" t="s">
        <v>3</v>
      </c>
      <c r="F4" s="35"/>
      <c r="G4" s="35"/>
      <c r="H4" s="35"/>
    </row>
    <row r="5" customFormat="false" ht="7.5" hidden="false" customHeight="true" outlineLevel="0" collapsed="false"/>
    <row r="6" customFormat="false" ht="7.5" hidden="false" customHeight="true" outlineLevel="0" collapsed="false"/>
    <row r="7" customFormat="false" ht="9.75" hidden="false" customHeight="true" outlineLevel="0" collapsed="false">
      <c r="C7" s="36"/>
      <c r="D7" s="37"/>
      <c r="E7" s="37"/>
      <c r="F7" s="37"/>
      <c r="G7" s="38"/>
      <c r="H7" s="38"/>
      <c r="I7" s="11"/>
    </row>
    <row r="8" customFormat="false" ht="24" hidden="false" customHeight="true" outlineLevel="0" collapsed="false">
      <c r="C8" s="39"/>
      <c r="D8" s="13" t="s">
        <v>16</v>
      </c>
      <c r="E8" s="13"/>
      <c r="F8" s="13"/>
      <c r="G8" s="13"/>
      <c r="H8" s="13"/>
      <c r="I8" s="14"/>
    </row>
    <row r="9" customFormat="false" ht="9.75" hidden="false" customHeight="true" outlineLevel="0" collapsed="false">
      <c r="C9" s="39"/>
      <c r="D9" s="15"/>
      <c r="E9" s="15"/>
      <c r="F9" s="15"/>
      <c r="G9" s="7"/>
      <c r="H9" s="7"/>
      <c r="I9" s="14"/>
    </row>
    <row r="10" customFormat="false" ht="24" hidden="false" customHeight="true" outlineLevel="0" collapsed="false">
      <c r="C10" s="39"/>
      <c r="D10" s="16" t="s">
        <v>17</v>
      </c>
      <c r="E10" s="15"/>
      <c r="F10" s="40" t="s">
        <v>18</v>
      </c>
      <c r="G10" s="7"/>
      <c r="H10" s="24" t="s">
        <v>19</v>
      </c>
      <c r="I10" s="14"/>
    </row>
    <row r="11" customFormat="false" ht="28.5" hidden="false" customHeight="true" outlineLevel="0" collapsed="false">
      <c r="C11" s="39"/>
      <c r="D11" s="21" t="n">
        <v>20</v>
      </c>
      <c r="E11" s="19"/>
      <c r="F11" s="21" t="n">
        <v>153</v>
      </c>
      <c r="G11" s="20"/>
      <c r="H11" s="21" t="n">
        <f aca="false">D11*9.8</f>
        <v>196</v>
      </c>
      <c r="I11" s="14"/>
    </row>
    <row r="12" customFormat="false" ht="28.5" hidden="false" customHeight="true" outlineLevel="0" collapsed="false">
      <c r="C12" s="39"/>
      <c r="D12" s="21" t="n">
        <v>40</v>
      </c>
      <c r="E12" s="19"/>
      <c r="F12" s="21" t="n">
        <v>301</v>
      </c>
      <c r="G12" s="20"/>
      <c r="H12" s="21" t="n">
        <f aca="false">D12*9.8</f>
        <v>392</v>
      </c>
      <c r="I12" s="14"/>
      <c r="M12" s="41"/>
      <c r="N12" s="41"/>
      <c r="O12" s="41"/>
      <c r="P12" s="41"/>
    </row>
    <row r="13" customFormat="false" ht="28.5" hidden="false" customHeight="true" outlineLevel="0" collapsed="false">
      <c r="C13" s="39"/>
      <c r="D13" s="21" t="n">
        <v>50</v>
      </c>
      <c r="E13" s="19"/>
      <c r="F13" s="21" t="n">
        <f aca="false">360+33</f>
        <v>393</v>
      </c>
      <c r="G13" s="20"/>
      <c r="H13" s="21" t="n">
        <f aca="false">D13*9.8</f>
        <v>490</v>
      </c>
      <c r="I13" s="14"/>
    </row>
    <row r="14" customFormat="false" ht="28.5" hidden="false" customHeight="true" outlineLevel="0" collapsed="false">
      <c r="C14" s="39"/>
      <c r="D14" s="21" t="n">
        <v>70</v>
      </c>
      <c r="E14" s="19"/>
      <c r="F14" s="21" t="n">
        <f aca="false">360+159</f>
        <v>519</v>
      </c>
      <c r="G14" s="20"/>
      <c r="H14" s="21" t="n">
        <f aca="false">D14*9.8</f>
        <v>686</v>
      </c>
      <c r="I14" s="14"/>
      <c r="M14" s="42"/>
      <c r="N14" s="42"/>
      <c r="O14" s="42"/>
      <c r="P14" s="42"/>
      <c r="Q14" s="42"/>
    </row>
    <row r="15" customFormat="false" ht="28.5" hidden="false" customHeight="true" outlineLevel="0" collapsed="false">
      <c r="C15" s="39"/>
      <c r="D15" s="21" t="n">
        <v>90</v>
      </c>
      <c r="E15" s="19"/>
      <c r="F15" s="21" t="n">
        <f aca="false">312+360</f>
        <v>672</v>
      </c>
      <c r="G15" s="20"/>
      <c r="H15" s="21" t="n">
        <f aca="false">D15*9.8</f>
        <v>882</v>
      </c>
      <c r="I15" s="14"/>
      <c r="M15" s="42"/>
      <c r="N15" s="42"/>
      <c r="O15" s="42"/>
      <c r="P15" s="42"/>
      <c r="Q15" s="42"/>
    </row>
    <row r="16" customFormat="false" ht="9" hidden="false" customHeight="true" outlineLevel="0" collapsed="false">
      <c r="C16" s="27"/>
      <c r="D16" s="28"/>
      <c r="E16" s="29"/>
      <c r="F16" s="29"/>
      <c r="G16" s="30"/>
      <c r="H16" s="30"/>
      <c r="I16" s="26"/>
      <c r="M16" s="15"/>
      <c r="N16" s="43"/>
      <c r="O16" s="43"/>
      <c r="P16" s="43"/>
      <c r="Q16" s="43"/>
      <c r="R16" s="43"/>
    </row>
    <row r="17" customFormat="false" ht="21" hidden="false" customHeight="true" outlineLevel="0" collapsed="false">
      <c r="D17" s="44"/>
      <c r="F17" s="43"/>
      <c r="M17" s="43"/>
      <c r="N17" s="43"/>
      <c r="O17" s="43"/>
      <c r="P17" s="43"/>
      <c r="Q17" s="43"/>
      <c r="R17" s="43"/>
    </row>
    <row r="18" customFormat="false" ht="10.5" hidden="false" customHeight="true" outlineLevel="0" collapsed="false">
      <c r="C18" s="45"/>
      <c r="D18" s="38"/>
      <c r="E18" s="38"/>
      <c r="F18" s="38"/>
      <c r="G18" s="38"/>
      <c r="H18" s="38"/>
      <c r="I18" s="11"/>
      <c r="L18" s="46"/>
      <c r="M18" s="47"/>
      <c r="N18" s="47"/>
      <c r="O18" s="47"/>
      <c r="P18" s="47"/>
      <c r="Q18" s="47"/>
      <c r="R18" s="48"/>
      <c r="S18" s="48"/>
      <c r="T18" s="48"/>
      <c r="U18" s="49"/>
    </row>
    <row r="19" customFormat="false" ht="24" hidden="false" customHeight="true" outlineLevel="0" collapsed="false">
      <c r="C19" s="50"/>
      <c r="D19" s="51"/>
      <c r="E19" s="51"/>
      <c r="F19" s="51"/>
      <c r="G19" s="51"/>
      <c r="H19" s="51"/>
      <c r="I19" s="14"/>
      <c r="L19" s="52"/>
      <c r="M19" s="53" t="s">
        <v>20</v>
      </c>
      <c r="N19" s="53"/>
      <c r="O19" s="53"/>
      <c r="P19" s="53"/>
      <c r="Q19" s="42"/>
      <c r="U19" s="54"/>
    </row>
    <row r="20" customFormat="false" ht="21.75" hidden="false" customHeight="true" outlineLevel="0" collapsed="false">
      <c r="C20" s="50"/>
      <c r="D20" s="55" t="s">
        <v>21</v>
      </c>
      <c r="E20" s="55"/>
      <c r="F20" s="55"/>
      <c r="I20" s="14"/>
      <c r="L20" s="52"/>
      <c r="M20" s="56" t="s">
        <v>22</v>
      </c>
      <c r="N20" s="56"/>
      <c r="O20" s="56"/>
      <c r="P20" s="56"/>
      <c r="Q20" s="56"/>
      <c r="R20" s="15"/>
      <c r="S20" s="57"/>
      <c r="T20" s="55"/>
      <c r="U20" s="54"/>
    </row>
    <row r="21" customFormat="false" ht="21.75" hidden="false" customHeight="true" outlineLevel="0" collapsed="false">
      <c r="C21" s="50"/>
      <c r="D21" s="58" t="s">
        <v>23</v>
      </c>
      <c r="E21" s="15" t="s">
        <v>24</v>
      </c>
      <c r="F21" s="57" t="n">
        <v>1.9</v>
      </c>
      <c r="G21" s="59" t="s">
        <v>25</v>
      </c>
      <c r="H21" s="59"/>
      <c r="I21" s="14"/>
      <c r="L21" s="52"/>
      <c r="M21" s="60" t="s">
        <v>26</v>
      </c>
      <c r="N21" s="60" t="s">
        <v>24</v>
      </c>
      <c r="O21" s="24" t="s">
        <v>27</v>
      </c>
      <c r="P21" s="60" t="s">
        <v>24</v>
      </c>
      <c r="Q21" s="15" t="s">
        <v>28</v>
      </c>
      <c r="R21" s="60" t="s">
        <v>24</v>
      </c>
      <c r="S21" s="61" t="n">
        <f aca="false">POWER(F21/100, 2)/(F26*F34*POWER(F24/100, 2))*1000</f>
        <v>119.860932091112</v>
      </c>
      <c r="T21" s="62" t="s">
        <v>29</v>
      </c>
      <c r="U21" s="54"/>
    </row>
    <row r="22" customFormat="false" ht="21.75" hidden="false" customHeight="true" outlineLevel="0" collapsed="false">
      <c r="C22" s="50"/>
      <c r="D22" s="63"/>
      <c r="E22" s="63"/>
      <c r="F22" s="63"/>
      <c r="I22" s="14"/>
      <c r="L22" s="52"/>
      <c r="M22" s="60"/>
      <c r="N22" s="60"/>
      <c r="O22" s="64" t="s">
        <v>30</v>
      </c>
      <c r="P22" s="60"/>
      <c r="Q22" s="65" t="s">
        <v>31</v>
      </c>
      <c r="R22" s="60"/>
      <c r="S22" s="61"/>
      <c r="T22" s="62" t="s">
        <v>32</v>
      </c>
      <c r="U22" s="54"/>
    </row>
    <row r="23" customFormat="false" ht="21.75" hidden="false" customHeight="true" outlineLevel="0" collapsed="false">
      <c r="C23" s="50"/>
      <c r="D23" s="55" t="s">
        <v>33</v>
      </c>
      <c r="E23" s="15"/>
      <c r="F23" s="63"/>
      <c r="G23" s="63"/>
      <c r="I23" s="14"/>
      <c r="L23" s="52"/>
      <c r="M23" s="66"/>
      <c r="N23" s="66"/>
      <c r="O23" s="66"/>
      <c r="P23" s="66"/>
      <c r="Q23" s="66"/>
      <c r="R23" s="15"/>
      <c r="S23" s="55"/>
      <c r="T23" s="55"/>
      <c r="U23" s="54"/>
    </row>
    <row r="24" customFormat="false" ht="21.75" hidden="false" customHeight="true" outlineLevel="0" collapsed="false">
      <c r="C24" s="50"/>
      <c r="D24" s="67" t="s">
        <v>34</v>
      </c>
      <c r="E24" s="15" t="s">
        <v>24</v>
      </c>
      <c r="F24" s="57" t="n">
        <v>6</v>
      </c>
      <c r="G24" s="59" t="s">
        <v>25</v>
      </c>
      <c r="H24" s="59"/>
      <c r="I24" s="14"/>
      <c r="L24" s="52"/>
      <c r="M24" s="56" t="s">
        <v>35</v>
      </c>
      <c r="N24" s="56"/>
      <c r="O24" s="56"/>
      <c r="P24" s="56"/>
      <c r="Q24" s="56"/>
      <c r="R24" s="15"/>
      <c r="S24" s="21"/>
      <c r="T24" s="55"/>
      <c r="U24" s="54"/>
    </row>
    <row r="25" customFormat="false" ht="21.75" hidden="false" customHeight="true" outlineLevel="0" collapsed="false">
      <c r="C25" s="50"/>
      <c r="D25" s="55" t="s">
        <v>36</v>
      </c>
      <c r="E25" s="55"/>
      <c r="F25" s="55"/>
      <c r="G25" s="63"/>
      <c r="H25" s="63"/>
      <c r="I25" s="14"/>
      <c r="L25" s="52"/>
      <c r="M25" s="60" t="s">
        <v>26</v>
      </c>
      <c r="N25" s="60" t="s">
        <v>24</v>
      </c>
      <c r="O25" s="24" t="s">
        <v>37</v>
      </c>
      <c r="P25" s="60" t="s">
        <v>24</v>
      </c>
      <c r="Q25" s="15" t="s">
        <v>38</v>
      </c>
      <c r="R25" s="60"/>
      <c r="S25" s="61" t="n">
        <f aca="false">(POWER(F29,2)*POWER(F21/100,2))/(F31*F34)*0.001</f>
        <v>115.369872403391</v>
      </c>
      <c r="T25" s="68" t="s">
        <v>39</v>
      </c>
      <c r="U25" s="54"/>
    </row>
    <row r="26" customFormat="false" ht="21.75" hidden="false" customHeight="true" outlineLevel="0" collapsed="false">
      <c r="C26" s="50"/>
      <c r="D26" s="69" t="s">
        <v>40</v>
      </c>
      <c r="E26" s="15" t="s">
        <v>24</v>
      </c>
      <c r="F26" s="57" t="n">
        <f aca="false">SLOPE('Parts 1 &amp; 2'!H11:H15,'Parts 1 &amp; 2'!F11:F15)</f>
        <v>0.629969418960245</v>
      </c>
      <c r="G26" s="59" t="s">
        <v>41</v>
      </c>
      <c r="H26" s="59"/>
      <c r="I26" s="14"/>
      <c r="L26" s="52"/>
      <c r="M26" s="60"/>
      <c r="N26" s="60"/>
      <c r="O26" s="64" t="s">
        <v>42</v>
      </c>
      <c r="P26" s="60"/>
      <c r="Q26" s="70" t="s">
        <v>43</v>
      </c>
      <c r="R26" s="60"/>
      <c r="S26" s="61"/>
      <c r="T26" s="68"/>
      <c r="U26" s="54"/>
    </row>
    <row r="27" customFormat="false" ht="21.75" hidden="false" customHeight="true" outlineLevel="0" collapsed="false">
      <c r="C27" s="50"/>
      <c r="G27" s="63"/>
      <c r="H27" s="63"/>
      <c r="I27" s="14"/>
      <c r="L27" s="71"/>
      <c r="M27" s="72"/>
      <c r="N27" s="72"/>
      <c r="O27" s="72"/>
      <c r="P27" s="72"/>
      <c r="Q27" s="72"/>
      <c r="R27" s="72"/>
      <c r="S27" s="72"/>
      <c r="T27" s="72"/>
      <c r="U27" s="73"/>
    </row>
    <row r="28" customFormat="false" ht="21.75" hidden="false" customHeight="true" outlineLevel="0" collapsed="false">
      <c r="C28" s="50"/>
      <c r="D28" s="55" t="s">
        <v>44</v>
      </c>
      <c r="E28" s="15"/>
      <c r="F28" s="63"/>
      <c r="G28" s="63"/>
      <c r="H28" s="63"/>
      <c r="I28" s="14"/>
      <c r="M28" s="55"/>
      <c r="N28" s="55"/>
      <c r="O28" s="55"/>
      <c r="P28" s="55"/>
      <c r="Q28" s="55"/>
      <c r="R28" s="55"/>
      <c r="S28" s="55"/>
      <c r="T28" s="55"/>
    </row>
    <row r="29" customFormat="false" ht="21.75" hidden="false" customHeight="true" outlineLevel="0" collapsed="false">
      <c r="C29" s="50"/>
      <c r="D29" s="67" t="s">
        <v>45</v>
      </c>
      <c r="E29" s="15" t="s">
        <v>24</v>
      </c>
      <c r="F29" s="15" t="n">
        <v>6000</v>
      </c>
      <c r="G29" s="55" t="s">
        <v>46</v>
      </c>
      <c r="H29" s="55"/>
      <c r="I29" s="14"/>
      <c r="M29" s="55"/>
      <c r="N29" s="55"/>
      <c r="O29" s="55"/>
      <c r="P29" s="55"/>
      <c r="Q29" s="55"/>
      <c r="R29" s="55"/>
      <c r="S29" s="55"/>
      <c r="T29" s="55"/>
    </row>
    <row r="30" customFormat="false" ht="21.75" hidden="false" customHeight="true" outlineLevel="0" collapsed="false">
      <c r="C30" s="50"/>
      <c r="D30" s="55" t="s">
        <v>47</v>
      </c>
      <c r="E30" s="55"/>
      <c r="F30" s="55"/>
      <c r="G30" s="63"/>
      <c r="H30" s="63"/>
      <c r="I30" s="14"/>
      <c r="M30" s="55"/>
      <c r="N30" s="55"/>
      <c r="O30" s="55"/>
      <c r="P30" s="55"/>
      <c r="Q30" s="55"/>
      <c r="R30" s="55"/>
      <c r="S30" s="55"/>
      <c r="T30" s="55"/>
    </row>
    <row r="31" customFormat="false" ht="21.75" hidden="false" customHeight="true" outlineLevel="0" collapsed="false">
      <c r="C31" s="50"/>
      <c r="D31" s="69" t="s">
        <v>48</v>
      </c>
      <c r="E31" s="15" t="s">
        <v>24</v>
      </c>
      <c r="F31" s="57" t="n">
        <f aca="false">SLOPE('Parts 1 &amp; 2'!H22:H28,'Parts 1 &amp; 2'!F22:F28)</f>
        <v>0.0848222342137682</v>
      </c>
      <c r="G31" s="55"/>
      <c r="H31" s="55" t="s">
        <v>49</v>
      </c>
      <c r="I31" s="14"/>
      <c r="M31" s="55"/>
      <c r="N31" s="55"/>
      <c r="O31" s="55"/>
      <c r="P31" s="55"/>
      <c r="Q31" s="55"/>
      <c r="R31" s="55"/>
      <c r="S31" s="55"/>
      <c r="T31" s="55"/>
    </row>
    <row r="32" customFormat="false" ht="21.75" hidden="false" customHeight="true" outlineLevel="0" collapsed="false">
      <c r="C32" s="50"/>
      <c r="D32" s="63"/>
      <c r="E32" s="63"/>
      <c r="F32" s="63"/>
      <c r="G32" s="63"/>
      <c r="H32" s="63"/>
      <c r="I32" s="14"/>
      <c r="M32" s="55"/>
      <c r="N32" s="55"/>
      <c r="O32" s="55"/>
      <c r="P32" s="55"/>
      <c r="Q32" s="55"/>
      <c r="R32" s="55"/>
      <c r="S32" s="55"/>
      <c r="T32" s="55"/>
    </row>
    <row r="33" customFormat="false" ht="21.75" hidden="false" customHeight="true" outlineLevel="0" collapsed="false">
      <c r="C33" s="50"/>
      <c r="D33" s="59" t="s">
        <v>50</v>
      </c>
      <c r="E33" s="59"/>
      <c r="F33" s="59"/>
      <c r="G33" s="59"/>
      <c r="H33" s="59"/>
      <c r="I33" s="14"/>
      <c r="M33" s="55"/>
      <c r="N33" s="55"/>
      <c r="O33" s="55"/>
      <c r="P33" s="55"/>
      <c r="Q33" s="55"/>
      <c r="R33" s="55"/>
      <c r="S33" s="55"/>
      <c r="T33" s="55"/>
    </row>
    <row r="34" customFormat="false" ht="21.75" hidden="false" customHeight="true" outlineLevel="0" collapsed="false">
      <c r="C34" s="50"/>
      <c r="D34" s="69" t="s">
        <v>51</v>
      </c>
      <c r="E34" s="15" t="s">
        <v>24</v>
      </c>
      <c r="F34" s="57" t="n">
        <f aca="false">SLOPE(H11:H15,F11:F15)</f>
        <v>1.32802907345988</v>
      </c>
      <c r="G34" s="59" t="s">
        <v>52</v>
      </c>
      <c r="H34" s="59"/>
      <c r="I34" s="14"/>
    </row>
    <row r="35" customFormat="false" ht="9.75" hidden="false" customHeight="true" outlineLevel="0" collapsed="false">
      <c r="C35" s="74"/>
      <c r="D35" s="30"/>
      <c r="E35" s="30"/>
      <c r="F35" s="30"/>
      <c r="G35" s="30"/>
      <c r="H35" s="30"/>
      <c r="I35" s="26"/>
    </row>
    <row r="36" customFormat="false" ht="21" hidden="false" customHeight="true" outlineLevel="0" collapsed="false"/>
    <row r="37" customFormat="false" ht="21" hidden="false" customHeight="true" outlineLevel="0" collapsed="false"/>
    <row r="38" customFormat="false" ht="21" hidden="false" customHeight="true" outlineLevel="0" collapsed="false"/>
    <row r="39" customFormat="false" ht="21" hidden="false" customHeight="true" outlineLevel="0" collapsed="false"/>
    <row r="40" customFormat="false" ht="9.75" hidden="false" customHeight="true" outlineLevel="0" collapsed="false"/>
  </sheetData>
  <mergeCells count="27">
    <mergeCell ref="C3:D3"/>
    <mergeCell ref="E3:H3"/>
    <mergeCell ref="C4:D4"/>
    <mergeCell ref="E4:H4"/>
    <mergeCell ref="D8:H8"/>
    <mergeCell ref="D19:H19"/>
    <mergeCell ref="M19:P19"/>
    <mergeCell ref="M20:Q20"/>
    <mergeCell ref="G21:H21"/>
    <mergeCell ref="M21:M22"/>
    <mergeCell ref="N21:N22"/>
    <mergeCell ref="P21:P22"/>
    <mergeCell ref="R21:R22"/>
    <mergeCell ref="S21:S22"/>
    <mergeCell ref="T21:T22"/>
    <mergeCell ref="G24:H24"/>
    <mergeCell ref="M24:Q24"/>
    <mergeCell ref="M25:M26"/>
    <mergeCell ref="N25:N26"/>
    <mergeCell ref="P25:P26"/>
    <mergeCell ref="R25:R26"/>
    <mergeCell ref="S25:S26"/>
    <mergeCell ref="T25:T26"/>
    <mergeCell ref="G26:H26"/>
    <mergeCell ref="D33:F33"/>
    <mergeCell ref="G33:H33"/>
    <mergeCell ref="G34:H3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R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 activeCellId="0" sqref="I2"/>
    </sheetView>
  </sheetViews>
  <sheetFormatPr defaultColWidth="8.6796875" defaultRowHeight="15" customHeight="true" zeroHeight="false" outlineLevelRow="0" outlineLevelCol="0"/>
  <cols>
    <col collapsed="false" customWidth="true" hidden="false" outlineLevel="0" max="2" min="1" style="0" width="2.42"/>
    <col collapsed="false" customWidth="true" hidden="false" outlineLevel="0" max="3" min="3" style="0" width="13.57"/>
    <col collapsed="false" customWidth="true" hidden="false" outlineLevel="0" max="6" min="6" style="0" width="11.85"/>
  </cols>
  <sheetData>
    <row r="2" customFormat="false" ht="24.75" hidden="false" customHeight="true" outlineLevel="0" collapsed="false">
      <c r="C2" s="75" t="s">
        <v>14</v>
      </c>
      <c r="D2" s="76" t="s">
        <v>1</v>
      </c>
      <c r="E2" s="76"/>
      <c r="F2" s="76"/>
      <c r="G2" s="76"/>
      <c r="H2" s="76"/>
    </row>
    <row r="3" customFormat="false" ht="24.75" hidden="false" customHeight="true" outlineLevel="0" collapsed="false">
      <c r="C3" s="77" t="s">
        <v>15</v>
      </c>
      <c r="D3" s="78"/>
      <c r="E3" s="78"/>
      <c r="F3" s="78"/>
      <c r="G3" s="78"/>
      <c r="H3" s="78"/>
    </row>
    <row r="5" customFormat="false" ht="24.75" hidden="false" customHeight="true" outlineLevel="0" collapsed="false">
      <c r="C5" s="79" t="s">
        <v>53</v>
      </c>
      <c r="D5" s="79"/>
      <c r="E5" s="79"/>
      <c r="G5" s="80"/>
      <c r="H5" s="80"/>
      <c r="J5" s="80"/>
    </row>
    <row r="6" customFormat="false" ht="33" hidden="false" customHeight="true" outlineLevel="0" collapsed="false">
      <c r="C6" s="81" t="s">
        <v>54</v>
      </c>
      <c r="D6" s="81"/>
      <c r="E6" s="81"/>
      <c r="F6" s="81"/>
      <c r="G6" s="81"/>
      <c r="H6" s="81"/>
      <c r="I6" s="81"/>
      <c r="J6" s="81"/>
      <c r="K6" s="81"/>
      <c r="L6" s="81"/>
      <c r="M6" s="81"/>
      <c r="N6" s="81"/>
      <c r="O6" s="81"/>
      <c r="P6" s="81"/>
      <c r="Q6" s="81"/>
      <c r="R6" s="81"/>
    </row>
    <row r="7" customFormat="false" ht="66" hidden="false" customHeight="true" outlineLevel="0" collapsed="false">
      <c r="C7" s="82"/>
      <c r="D7" s="82"/>
      <c r="E7" s="82"/>
      <c r="F7" s="82"/>
      <c r="G7" s="82"/>
      <c r="H7" s="82"/>
      <c r="I7" s="82"/>
      <c r="J7" s="82"/>
      <c r="K7" s="82"/>
      <c r="L7" s="82"/>
      <c r="M7" s="82"/>
      <c r="N7" s="82"/>
      <c r="O7" s="82"/>
      <c r="P7" s="82"/>
      <c r="Q7" s="82"/>
      <c r="R7" s="82"/>
    </row>
    <row r="8" customFormat="false" ht="15" hidden="false" customHeight="false" outlineLevel="0" collapsed="false">
      <c r="C8" s="19"/>
      <c r="D8" s="7"/>
      <c r="E8" s="15"/>
      <c r="F8" s="7"/>
      <c r="G8" s="20"/>
      <c r="H8" s="20"/>
      <c r="I8" s="7"/>
      <c r="J8" s="20"/>
      <c r="K8" s="7"/>
      <c r="L8" s="7"/>
      <c r="M8" s="7"/>
      <c r="N8" s="7"/>
      <c r="O8" s="7"/>
      <c r="P8" s="7"/>
      <c r="Q8" s="7"/>
      <c r="R8" s="7"/>
    </row>
    <row r="9" customFormat="false" ht="39" hidden="false" customHeight="true" outlineLevel="0" collapsed="false">
      <c r="C9" s="83" t="s">
        <v>55</v>
      </c>
      <c r="D9" s="83"/>
      <c r="E9" s="83"/>
      <c r="F9" s="83"/>
      <c r="G9" s="83"/>
      <c r="H9" s="83"/>
      <c r="I9" s="83"/>
      <c r="J9" s="83"/>
      <c r="K9" s="83"/>
      <c r="L9" s="83"/>
      <c r="M9" s="83"/>
      <c r="N9" s="83"/>
      <c r="O9" s="83"/>
      <c r="P9" s="83"/>
      <c r="Q9" s="83"/>
      <c r="R9" s="7"/>
    </row>
    <row r="10" customFormat="false" ht="62.25" hidden="false" customHeight="true" outlineLevel="0" collapsed="false">
      <c r="C10" s="82"/>
      <c r="D10" s="82"/>
      <c r="E10" s="82"/>
      <c r="F10" s="82"/>
      <c r="G10" s="82"/>
      <c r="H10" s="82"/>
      <c r="I10" s="82"/>
      <c r="J10" s="82"/>
      <c r="K10" s="82"/>
      <c r="L10" s="82"/>
      <c r="M10" s="82"/>
      <c r="N10" s="82"/>
      <c r="O10" s="82"/>
      <c r="P10" s="82"/>
      <c r="Q10" s="82"/>
      <c r="R10" s="82"/>
    </row>
    <row r="11" customFormat="false" ht="15" hidden="false" customHeight="false" outlineLevel="0" collapsed="false">
      <c r="C11" s="19"/>
      <c r="D11" s="7"/>
      <c r="E11" s="15"/>
      <c r="F11" s="7"/>
      <c r="G11" s="20"/>
      <c r="H11" s="20"/>
      <c r="I11" s="7"/>
      <c r="J11" s="20"/>
      <c r="K11" s="7"/>
      <c r="L11" s="7"/>
      <c r="M11" s="7"/>
      <c r="N11" s="7"/>
      <c r="O11" s="7"/>
      <c r="P11" s="7"/>
      <c r="Q11" s="7"/>
      <c r="R11" s="7"/>
    </row>
    <row r="12" customFormat="false" ht="48" hidden="false" customHeight="true" outlineLevel="0" collapsed="false">
      <c r="C12" s="83" t="s">
        <v>56</v>
      </c>
      <c r="D12" s="83"/>
      <c r="E12" s="83"/>
      <c r="F12" s="83"/>
      <c r="G12" s="83"/>
      <c r="H12" s="83"/>
      <c r="I12" s="83"/>
      <c r="J12" s="83"/>
      <c r="K12" s="83"/>
      <c r="L12" s="83"/>
      <c r="M12" s="83"/>
      <c r="N12" s="83"/>
      <c r="O12" s="83"/>
      <c r="P12" s="83"/>
      <c r="Q12" s="83"/>
      <c r="R12" s="7"/>
    </row>
    <row r="13" customFormat="false" ht="72" hidden="false" customHeight="true" outlineLevel="0" collapsed="false">
      <c r="C13" s="82"/>
      <c r="D13" s="82"/>
      <c r="E13" s="82"/>
      <c r="F13" s="82"/>
      <c r="G13" s="82"/>
      <c r="H13" s="82"/>
      <c r="I13" s="82"/>
      <c r="J13" s="82"/>
      <c r="K13" s="82"/>
      <c r="L13" s="82"/>
      <c r="M13" s="82"/>
      <c r="N13" s="82"/>
      <c r="O13" s="82"/>
      <c r="P13" s="82"/>
      <c r="Q13" s="82"/>
      <c r="R13" s="82"/>
    </row>
    <row r="14" customFormat="false" ht="15.75" hidden="false" customHeight="false" outlineLevel="0" collapsed="false">
      <c r="C14" s="15"/>
      <c r="D14" s="7"/>
      <c r="E14" s="7"/>
      <c r="F14" s="7"/>
      <c r="G14" s="7"/>
      <c r="H14" s="7"/>
      <c r="I14" s="7"/>
      <c r="J14" s="7"/>
      <c r="K14" s="7"/>
      <c r="L14" s="7"/>
      <c r="M14" s="7"/>
      <c r="N14" s="7"/>
      <c r="O14" s="7"/>
      <c r="P14" s="7"/>
      <c r="Q14" s="7"/>
      <c r="R14" s="7"/>
    </row>
    <row r="15" customFormat="false" ht="15.75" hidden="false" customHeight="false" outlineLevel="0" collapsed="false">
      <c r="C15" s="7"/>
      <c r="D15" s="7"/>
      <c r="E15" s="7"/>
      <c r="F15" s="7"/>
      <c r="G15" s="7"/>
      <c r="H15" s="7"/>
      <c r="I15" s="7"/>
      <c r="J15" s="7"/>
      <c r="K15" s="7"/>
      <c r="L15" s="7"/>
      <c r="M15" s="7"/>
      <c r="N15" s="7"/>
      <c r="O15" s="7"/>
      <c r="P15" s="7"/>
      <c r="Q15" s="7"/>
      <c r="R15" s="7"/>
    </row>
  </sheetData>
  <mergeCells count="9">
    <mergeCell ref="D2:H2"/>
    <mergeCell ref="D3:H3"/>
    <mergeCell ref="C5:E5"/>
    <mergeCell ref="C6:R6"/>
    <mergeCell ref="C7:R7"/>
    <mergeCell ref="C9:Q9"/>
    <mergeCell ref="C10:R10"/>
    <mergeCell ref="C12:Q12"/>
    <mergeCell ref="C13:R1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LibreOffice/25.2.7.2$Linux_AARCH64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2020-03-25T16:50:22Z</dcterms:created>
  <dc:creator>Owner</dc:creator>
  <dc:description/>
  <dc:language>en-US</dc:language>
  <cp:lastModifiedBy/>
  <dcterms:modified xsi:type="dcterms:W3CDTF">2026-02-25T16:33:40Z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