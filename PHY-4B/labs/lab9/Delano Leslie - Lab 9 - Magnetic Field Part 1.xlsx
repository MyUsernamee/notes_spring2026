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<sst xmlns="http://schemas.openxmlformats.org/spreadsheetml/2006/main" count="52" uniqueCount="35">
  <si>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t xml:space="preserve">Name:</t>
  </si>
  <si>
    <t xml:space="preserve">Delano Leslie</t>
  </si>
  <si>
    <t xml:space="preserve">Partner(s):</t>
  </si>
  <si>
    <t xml:space="preserve">Miguel Torres, William Rojas, Sean Robertson</t>
  </si>
  <si>
    <t xml:space="preserve">Date:</t>
  </si>
  <si>
    <t xml:space="preserve">Table #:</t>
  </si>
  <si>
    <t xml:space="preserve">Part A</t>
  </si>
  <si>
    <t xml:space="preserve">Current v.s. Magnetic Field Strength</t>
  </si>
  <si>
    <t xml:space="preserve">I (A)</t>
  </si>
  <si>
    <r>
      <rPr>
        <sz val="11"/>
        <color theme="1"/>
        <rFont val="Calibri"/>
        <family val="2"/>
        <charset val="1"/>
      </rPr>
      <t xml:space="preserve">B (</t>
    </r>
    <r>
      <rPr>
        <sz val="11"/>
        <color rgb="FF000000"/>
        <rFont val="Symbol"/>
        <family val="1"/>
        <charset val="2"/>
      </rPr>
      <t xml:space="preserve">m</t>
    </r>
    <r>
      <rPr>
        <sz val="11"/>
        <color theme="1"/>
        <rFont val="Calibri"/>
        <family val="2"/>
        <charset val="1"/>
      </rPr>
      <t xml:space="preserve">T)</t>
    </r>
  </si>
  <si>
    <t xml:space="preserve">Calculations</t>
  </si>
  <si>
    <t xml:space="preserve">Calculate the expected value of slope and compare to the measured value.</t>
  </si>
  <si>
    <t xml:space="preserve">slope</t>
  </si>
  <si>
    <t xml:space="preserve">=</t>
  </si>
  <si>
    <r>
      <rPr>
        <sz val="11"/>
        <color theme="1"/>
        <rFont val="Calibri"/>
        <family val="2"/>
        <charset val="1"/>
      </rPr>
      <t xml:space="preserve">N k</t>
    </r>
    <r>
      <rPr>
        <vertAlign val="subscript"/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Standard Symbols PS"/>
        <family val="0"/>
        <charset val="1"/>
      </rPr>
      <t xml:space="preserve">p</t>
    </r>
  </si>
  <si>
    <r>
      <rPr>
        <sz val="11"/>
        <color theme="1"/>
        <rFont val="Calibri"/>
        <family val="2"/>
        <charset val="1"/>
      </rPr>
      <t xml:space="preserve">(200) (0.2 </t>
    </r>
    <r>
      <rPr>
        <sz val="11"/>
        <color theme="1"/>
        <rFont val="Standard Symbols PS"/>
        <family val="0"/>
        <charset val="1"/>
      </rPr>
      <t xml:space="preserve">m</t>
    </r>
    <r>
      <rPr>
        <sz val="11"/>
        <color theme="1"/>
        <rFont val="Calibri"/>
        <family val="2"/>
        <charset val="1"/>
      </rPr>
      <t xml:space="preserve">T-m/A ) (3.14)</t>
    </r>
  </si>
  <si>
    <r>
      <rPr>
        <sz val="11"/>
        <color rgb="FF000000"/>
        <rFont val="Symbol"/>
        <family val="1"/>
        <charset val="2"/>
      </rPr>
      <t xml:space="preserve">m</t>
    </r>
    <r>
      <rPr>
        <sz val="11"/>
        <color rgb="FF000000"/>
        <rFont val="Calibri"/>
        <family val="2"/>
        <charset val="1"/>
      </rPr>
      <t xml:space="preserve">T/A</t>
    </r>
  </si>
  <si>
    <t xml:space="preserve">R</t>
  </si>
  <si>
    <t xml:space="preserve">(10.25 cm)</t>
  </si>
  <si>
    <t xml:space="preserve">% Diff </t>
  </si>
  <si>
    <t xml:space="preserve">meas - expec </t>
  </si>
  <si>
    <t xml:space="preserve">expec</t>
  </si>
  <si>
    <t xml:space="preserve">Part B</t>
  </si>
  <si>
    <t xml:space="preserve">Constant Magnetic Field at Varying Distances</t>
  </si>
  <si>
    <t xml:space="preserve">x (cm)</t>
  </si>
  <si>
    <r>
      <rPr>
        <sz val="11"/>
        <color theme="1"/>
        <rFont val="Calibri"/>
        <family val="2"/>
        <charset val="1"/>
      </rPr>
      <t xml:space="preserve">B (</t>
    </r>
    <r>
      <rPr>
        <sz val="11"/>
        <color theme="1"/>
        <rFont val="Standard Symbols PS"/>
        <family val="0"/>
        <charset val="1"/>
      </rPr>
      <t xml:space="preserve">m</t>
    </r>
    <r>
      <rPr>
        <sz val="11"/>
        <color theme="1"/>
        <rFont val="Calibri"/>
        <family val="2"/>
        <charset val="1"/>
      </rPr>
      <t xml:space="preserve">T)</t>
    </r>
  </si>
  <si>
    <r>
      <rPr>
        <sz val="11"/>
        <color theme="1"/>
        <rFont val="Calibri"/>
        <family val="2"/>
        <charset val="1"/>
      </rPr>
      <t xml:space="preserve">x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(x10</t>
    </r>
    <r>
      <rPr>
        <vertAlign val="superscript"/>
        <sz val="11"/>
        <color theme="1"/>
        <rFont val="Calibri"/>
        <family val="2"/>
        <charset val="1"/>
      </rPr>
      <t xml:space="preserve">-4</t>
    </r>
    <r>
      <rPr>
        <sz val="11"/>
        <color theme="1"/>
        <rFont val="Calibri"/>
        <family val="2"/>
        <charset val="1"/>
      </rPr>
      <t xml:space="preserve"> 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</si>
  <si>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</t>
    </r>
    <r>
      <rPr>
        <vertAlign val="superscript"/>
        <sz val="11"/>
        <color theme="1"/>
        <rFont val="Calibri"/>
        <family val="2"/>
        <charset val="1"/>
      </rPr>
      <t xml:space="preserve">-2/3 </t>
    </r>
    <r>
      <rPr>
        <sz val="11"/>
        <color theme="1"/>
        <rFont val="Calibri"/>
        <family val="2"/>
        <charset val="1"/>
      </rPr>
      <t xml:space="preserve">(T</t>
    </r>
    <r>
      <rPr>
        <vertAlign val="superscript"/>
        <sz val="11"/>
        <color theme="1"/>
        <rFont val="Calibri"/>
        <family val="2"/>
        <charset val="1"/>
      </rPr>
      <t xml:space="preserve">-2/3</t>
    </r>
    <r>
      <rPr>
        <sz val="11"/>
        <color theme="1"/>
        <rFont val="Calibri"/>
        <family val="2"/>
        <charset val="1"/>
      </rPr>
      <t xml:space="preserve">)</t>
    </r>
  </si>
  <si>
    <t xml:space="preserve">a</t>
  </si>
  <si>
    <r>
      <rPr>
        <sz val="11"/>
        <color theme="1"/>
        <rFont val="Calibri"/>
        <family val="2"/>
        <charset val="1"/>
      </rPr>
      <t xml:space="preserve">[N k</t>
    </r>
    <r>
      <rPr>
        <vertAlign val="subscript"/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Calibri"/>
        <family val="2"/>
        <charset val="1"/>
      </rPr>
      <t xml:space="preserve"> I R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Standard Symbols PS"/>
        <family val="0"/>
        <charset val="1"/>
      </rPr>
      <t xml:space="preserve">p]</t>
    </r>
    <r>
      <rPr>
        <vertAlign val="superscript"/>
        <sz val="11"/>
        <color theme="1"/>
        <rFont val="Calibri"/>
        <family val="2"/>
        <charset val="1"/>
      </rPr>
      <t xml:space="preserve">-2/3</t>
    </r>
  </si>
  <si>
    <r>
      <rPr>
        <sz val="11"/>
        <color theme="1"/>
        <rFont val="Calibri"/>
        <family val="2"/>
        <charset val="1"/>
      </rPr>
      <t xml:space="preserve">[(200) (0.2 mT-m/A ) (3.14) (1.0 A) (0.1025 m)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]</t>
    </r>
    <r>
      <rPr>
        <vertAlign val="superscript"/>
        <sz val="11"/>
        <color theme="1"/>
        <rFont val="Calibri"/>
        <family val="2"/>
        <charset val="1"/>
      </rPr>
      <t xml:space="preserve">-2/3</t>
    </r>
  </si>
  <si>
    <r>
      <rPr>
        <sz val="11"/>
        <color theme="1"/>
        <rFont val="Standard Symbols PS"/>
        <family val="0"/>
        <charset val="1"/>
      </rPr>
      <t xml:space="preserve">m</t>
    </r>
    <r>
      <rPr>
        <sz val="11"/>
        <color theme="1"/>
        <rFont val="Calibri"/>
        <family val="2"/>
        <charset val="1"/>
      </rPr>
      <t xml:space="preserve">T</t>
    </r>
    <r>
      <rPr>
        <vertAlign val="superscript"/>
        <sz val="11"/>
        <color theme="1"/>
        <rFont val="Calibri"/>
        <family val="2"/>
        <charset val="1"/>
      </rPr>
      <t xml:space="preserve">-2/3</t>
    </r>
  </si>
  <si>
    <t xml:space="preserve">8366.22 – 8309.25</t>
  </si>
  <si>
    <r>
      <rPr>
        <sz val="11"/>
        <color theme="1"/>
        <rFont val="Calibri"/>
        <family val="2"/>
        <charset val="1"/>
      </rPr>
      <t xml:space="preserve">T</t>
    </r>
    <r>
      <rPr>
        <vertAlign val="superscript"/>
        <sz val="11"/>
        <color theme="1"/>
        <rFont val="Calibri"/>
        <family val="2"/>
        <charset val="1"/>
      </rPr>
      <t xml:space="preserve">-2/3</t>
    </r>
  </si>
  <si>
    <r>
      <rPr>
        <sz val="11"/>
        <color theme="1"/>
        <rFont val="Calibri"/>
        <family val="2"/>
        <charset val="1"/>
      </rPr>
      <t xml:space="preserve">m</t>
    </r>
    <r>
      <rPr>
        <vertAlign val="superscript"/>
        <sz val="11"/>
        <color theme="1"/>
        <rFont val="Calibri"/>
        <family val="2"/>
        <charset val="1"/>
      </rPr>
      <t xml:space="preserve">2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</si>
</sst>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0.00%"/>
    <numFmt numFmtId="167" formatCode="0.0"/>
    <numFmt numFmtId="168" formatCode="0.00"/>
    <numFmt numFmtId="169" formatCode="0%"/>
    <numFmt numFmtId="170" formatCode="0.0%"/>
    <numFmt numFmtId="171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rgb="FF000000"/>
      <name val="Symbol"/>
      <family val="1"/>
      <charset val="2"/>
    </font>
    <font>
      <b val="true"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1"/>
      <color theme="1"/>
      <name val="Standard Symbols PS"/>
      <family val="0"/>
      <charset val="1"/>
    </font>
    <font>
      <sz val="11"/>
      <color rgb="FF00000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Current v.s. Magnetic Field Strength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Graphs Calculations'!$H$11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Graphs Calculations'!$G$12:$G$21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'Data Graphs Calculations'!$H$12:$H$21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"/>
          <c:order val="1"/>
          <c:tx>
            <c:strRef>
              <c:f>'Data Graphs Calculations'!$I$11</c:f>
              <c:strCache>
                <c:ptCount val="1"/>
                <c:pt idx="0">
                  <c:v>B (mT)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Calculations'!$G$12:$G$21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'Data Graphs Calculations'!$I$12:$I$21</c:f>
              <c:numCache>
                <c:formatCode>General</c:formatCode>
                <c:ptCount val="10"/>
                <c:pt idx="0">
                  <c:v>125</c:v>
                </c:pt>
                <c:pt idx="1">
                  <c:v>240</c:v>
                </c:pt>
                <c:pt idx="2">
                  <c:v>365</c:v>
                </c:pt>
                <c:pt idx="3">
                  <c:v>480</c:v>
                </c:pt>
                <c:pt idx="4">
                  <c:v>600</c:v>
                </c:pt>
                <c:pt idx="5">
                  <c:v>720</c:v>
                </c:pt>
                <c:pt idx="6">
                  <c:v>845</c:v>
                </c:pt>
                <c:pt idx="7">
                  <c:v>955</c:v>
                </c:pt>
                <c:pt idx="8">
                  <c:v>1080</c:v>
                </c:pt>
                <c:pt idx="9">
                  <c:v>1210</c:v>
                </c:pt>
              </c:numCache>
            </c:numRef>
          </c:yVal>
          <c:smooth val="0"/>
        </c:ser>
        <c:axId val="4282687"/>
        <c:axId val="67411501"/>
      </c:scatterChart>
      <c:valAx>
        <c:axId val="4282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411501"/>
        <c:crosses val="autoZero"/>
        <c:crossBetween val="between"/>
      </c:valAx>
      <c:valAx>
        <c:axId val="67411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B (uT)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826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Constant Magnetic Field with Varying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Graphs Calculations'!$I$43</c:f>
              <c:strCache>
                <c:ptCount val="1"/>
                <c:pt idx="0">
                  <c:v>B-2/3 (T-2/3)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Calculations'!$G$44:$G$49</c:f>
              <c:numCache>
                <c:formatCode>0.0</c:formatCode>
                <c:ptCount val="6"/>
                <c:pt idx="0">
                  <c:v>16</c:v>
                </c:pt>
                <c:pt idx="1">
                  <c:v>36</c:v>
                </c:pt>
                <c:pt idx="2">
                  <c:v>64</c:v>
                </c:pt>
                <c:pt idx="3">
                  <c:v>100</c:v>
                </c:pt>
                <c:pt idx="4">
                  <c:v>144</c:v>
                </c:pt>
                <c:pt idx="5">
                  <c:v>196</c:v>
                </c:pt>
              </c:numCache>
            </c:numRef>
          </c:xVal>
          <c:yVal>
            <c:numRef>
              <c:f>'Data Graphs Calculations'!$I$44:$I$49</c:f>
              <c:numCache>
                <c:formatCode>0.0</c:formatCode>
                <c:ptCount val="6"/>
                <c:pt idx="0">
                  <c:v>99.3388399546623</c:v>
                </c:pt>
                <c:pt idx="1">
                  <c:v>114.611516984981</c:v>
                </c:pt>
                <c:pt idx="2">
                  <c:v>135.35807928092</c:v>
                </c:pt>
                <c:pt idx="3">
                  <c:v>167.813970203514</c:v>
                </c:pt>
                <c:pt idx="4">
                  <c:v>205.28035432085</c:v>
                </c:pt>
                <c:pt idx="5">
                  <c:v>248.679439426863</c:v>
                </c:pt>
              </c:numCache>
            </c:numRef>
          </c:yVal>
          <c:smooth val="0"/>
        </c:ser>
        <c:axId val="12671950"/>
        <c:axId val="72188252"/>
      </c:scatterChart>
      <c:valAx>
        <c:axId val="12671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x^2 (x10^-4 m^2)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188252"/>
        <c:crosses val="autoZero"/>
        <c:crossBetween val="midCat"/>
      </c:valAx>
      <c:valAx>
        <c:axId val="721882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B^-2/3 (T^-2/3)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6719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252000</xdr:colOff>
      <xdr:row>7</xdr:row>
      <xdr:rowOff>95760</xdr:rowOff>
    </xdr:from>
    <xdr:to>
      <xdr:col>18</xdr:col>
      <xdr:colOff>196920</xdr:colOff>
      <xdr:row>20</xdr:row>
      <xdr:rowOff>58680</xdr:rowOff>
    </xdr:to>
    <xdr:graphicFrame>
      <xdr:nvGraphicFramePr>
        <xdr:cNvPr id="1" name=""/>
        <xdr:cNvGraphicFramePr/>
      </xdr:nvGraphicFramePr>
      <xdr:xfrm>
        <a:off x="5229720" y="2048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272880</xdr:colOff>
      <xdr:row>38</xdr:row>
      <xdr:rowOff>203400</xdr:rowOff>
    </xdr:from>
    <xdr:to>
      <xdr:col>18</xdr:col>
      <xdr:colOff>217800</xdr:colOff>
      <xdr:row>50</xdr:row>
      <xdr:rowOff>14040</xdr:rowOff>
    </xdr:to>
    <xdr:graphicFrame>
      <xdr:nvGraphicFramePr>
        <xdr:cNvPr id="2" name=""/>
        <xdr:cNvGraphicFramePr/>
      </xdr:nvGraphicFramePr>
      <xdr:xfrm>
        <a:off x="5250600" y="9099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1048576"/>
  <sheetViews>
    <sheetView showFormulas="false" showGridLines="true" showRowColHeaders="true" showZeros="true" rightToLeft="false" tabSelected="true" showOutlineSymbols="true" defaultGridColor="true" view="normal" topLeftCell="F19" colorId="64" zoomScale="106" zoomScaleNormal="106" zoomScalePageLayoutView="100" workbookViewId="0">
      <selection pane="topLeft" activeCell="V27" activeCellId="0" sqref="V27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.71"/>
    <col collapsed="false" customWidth="true" hidden="false" outlineLevel="0" max="3" min="3" style="0" width="10.85"/>
    <col collapsed="false" customWidth="true" hidden="false" outlineLevel="0" max="4" min="4" style="0" width="2.71"/>
    <col collapsed="false" customWidth="true" hidden="false" outlineLevel="0" max="5" min="5" style="0" width="10.85"/>
    <col collapsed="false" customWidth="true" hidden="false" outlineLevel="0" max="6" min="6" style="0" width="2.71"/>
    <col collapsed="false" customWidth="true" hidden="false" outlineLevel="0" max="7" min="7" style="0" width="10.85"/>
    <col collapsed="false" customWidth="true" hidden="false" outlineLevel="0" max="8" min="8" style="0" width="2.71"/>
    <col collapsed="false" customWidth="true" hidden="false" outlineLevel="0" max="9" min="9" style="0" width="20.21"/>
    <col collapsed="false" customWidth="true" hidden="false" outlineLevel="0" max="10" min="10" style="0" width="2.71"/>
    <col collapsed="false" customWidth="true" hidden="false" outlineLevel="0" max="11" min="11" style="0" width="4.42"/>
    <col collapsed="false" customWidth="true" hidden="false" outlineLevel="0" max="13" min="13" style="0" width="4.42"/>
    <col collapsed="false" customWidth="true" hidden="false" outlineLevel="0" max="14" min="14" style="0" width="13.71"/>
    <col collapsed="false" customWidth="true" hidden="false" outlineLevel="0" max="15" min="15" style="0" width="4.42"/>
    <col collapsed="false" customWidth="true" hidden="false" outlineLevel="0" max="16" min="16" style="0" width="32.81"/>
    <col collapsed="false" customWidth="true" hidden="false" outlineLevel="0" max="17" min="17" style="0" width="4.42"/>
    <col collapsed="false" customWidth="true" hidden="false" outlineLevel="0" max="18" min="18" style="0" width="9.42"/>
    <col collapsed="false" customWidth="true" hidden="false" outlineLevel="0" max="19" min="19" style="0" width="7.71"/>
    <col collapsed="false" customWidth="true" hidden="false" outlineLevel="0" max="20" min="20" style="0" width="4.42"/>
    <col collapsed="false" customWidth="true" hidden="false" outlineLevel="0" max="23" min="23" style="0" width="4.42"/>
  </cols>
  <sheetData>
    <row r="2" customFormat="false" ht="28.5" hidden="false" customHeight="true" outlineLevel="0" collapsed="false">
      <c r="C2" s="1" t="s">
        <v>0</v>
      </c>
      <c r="D2" s="1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28.5" hidden="false" customHeight="true" outlineLevel="0" collapsed="false">
      <c r="C3" s="3" t="s">
        <v>2</v>
      </c>
      <c r="D3" s="3"/>
      <c r="E3" s="4" t="s">
        <v>3</v>
      </c>
      <c r="F3" s="4"/>
      <c r="G3" s="4"/>
      <c r="H3" s="4"/>
      <c r="I3" s="4"/>
      <c r="J3" s="4"/>
      <c r="K3" s="4"/>
      <c r="L3" s="4"/>
      <c r="M3" s="4"/>
      <c r="N3" s="4"/>
    </row>
    <row r="4" customFormat="false" ht="28.5" hidden="false" customHeight="true" outlineLevel="0" collapsed="false">
      <c r="C4" s="5" t="s">
        <v>4</v>
      </c>
      <c r="D4" s="5"/>
      <c r="E4" s="6" t="n">
        <v>46141</v>
      </c>
      <c r="F4" s="6"/>
      <c r="G4" s="6"/>
      <c r="H4" s="6"/>
      <c r="I4" s="6"/>
      <c r="J4" s="6"/>
      <c r="K4" s="6"/>
      <c r="L4" s="7" t="s">
        <v>5</v>
      </c>
      <c r="M4" s="7"/>
      <c r="N4" s="8" t="n">
        <v>3</v>
      </c>
    </row>
    <row r="5" customFormat="false" ht="21.75" hidden="false" customHeight="true" outlineLevel="0" collapsed="false"/>
    <row r="6" customFormat="false" ht="21.75" hidden="false" customHeight="true" outlineLevel="0" collapsed="false">
      <c r="F6" s="9" t="s">
        <v>6</v>
      </c>
      <c r="G6" s="9"/>
      <c r="H6" s="9"/>
    </row>
    <row r="7" customFormat="false" ht="9.75" hidden="false" customHeight="true" outlineLevel="0" collapsed="false"/>
    <row r="8" customFormat="false" ht="12" hidden="false" customHeight="true" outlineLevel="0" collapsed="false">
      <c r="B8" s="10"/>
      <c r="C8" s="10"/>
      <c r="D8" s="10"/>
      <c r="E8" s="10"/>
      <c r="F8" s="11"/>
      <c r="G8" s="12"/>
      <c r="H8" s="12"/>
      <c r="I8" s="12"/>
      <c r="J8" s="13"/>
    </row>
    <row r="9" customFormat="false" ht="24.75" hidden="false" customHeight="true" outlineLevel="0" collapsed="false">
      <c r="B9" s="10"/>
      <c r="C9" s="10"/>
      <c r="D9" s="10"/>
      <c r="E9" s="10"/>
      <c r="F9" s="14"/>
      <c r="G9" s="15" t="s">
        <v>7</v>
      </c>
      <c r="H9" s="15"/>
      <c r="I9" s="15"/>
      <c r="J9" s="16"/>
    </row>
    <row r="10" customFormat="false" ht="12" hidden="false" customHeight="true" outlineLevel="0" collapsed="false">
      <c r="B10" s="10"/>
      <c r="C10" s="10"/>
      <c r="D10" s="10"/>
      <c r="E10" s="10"/>
      <c r="F10" s="14"/>
      <c r="G10" s="10"/>
      <c r="H10" s="10"/>
      <c r="I10" s="10"/>
      <c r="J10" s="16"/>
    </row>
    <row r="11" customFormat="false" ht="20.25" hidden="false" customHeight="true" outlineLevel="0" collapsed="false">
      <c r="B11" s="10"/>
      <c r="C11" s="10"/>
      <c r="D11" s="10"/>
      <c r="E11" s="10"/>
      <c r="F11" s="14"/>
      <c r="G11" s="17" t="s">
        <v>8</v>
      </c>
      <c r="H11" s="10"/>
      <c r="I11" s="17" t="s">
        <v>9</v>
      </c>
      <c r="J11" s="16"/>
    </row>
    <row r="12" customFormat="false" ht="21" hidden="false" customHeight="true" outlineLevel="0" collapsed="false">
      <c r="B12" s="10"/>
      <c r="C12" s="10"/>
      <c r="D12" s="10"/>
      <c r="E12" s="10"/>
      <c r="F12" s="14"/>
      <c r="G12" s="10" t="n">
        <v>0.1</v>
      </c>
      <c r="H12" s="10"/>
      <c r="I12" s="10" t="n">
        <v>125</v>
      </c>
      <c r="J12" s="16"/>
    </row>
    <row r="13" customFormat="false" ht="21" hidden="false" customHeight="true" outlineLevel="0" collapsed="false">
      <c r="B13" s="10"/>
      <c r="C13" s="10"/>
      <c r="D13" s="10"/>
      <c r="E13" s="10"/>
      <c r="F13" s="14"/>
      <c r="G13" s="10" t="n">
        <v>0.2</v>
      </c>
      <c r="H13" s="10"/>
      <c r="I13" s="10" t="n">
        <v>240</v>
      </c>
      <c r="J13" s="16"/>
    </row>
    <row r="14" customFormat="false" ht="21" hidden="false" customHeight="true" outlineLevel="0" collapsed="false">
      <c r="B14" s="10"/>
      <c r="C14" s="10"/>
      <c r="D14" s="10"/>
      <c r="E14" s="10"/>
      <c r="F14" s="14"/>
      <c r="G14" s="10" t="n">
        <v>0.3</v>
      </c>
      <c r="H14" s="10"/>
      <c r="I14" s="10" t="n">
        <v>365</v>
      </c>
      <c r="J14" s="16"/>
    </row>
    <row r="15" customFormat="false" ht="21" hidden="false" customHeight="true" outlineLevel="0" collapsed="false">
      <c r="B15" s="10"/>
      <c r="C15" s="10"/>
      <c r="D15" s="10"/>
      <c r="E15" s="10"/>
      <c r="F15" s="14"/>
      <c r="G15" s="10" t="n">
        <v>0.4</v>
      </c>
      <c r="H15" s="10"/>
      <c r="I15" s="10" t="n">
        <v>480</v>
      </c>
      <c r="J15" s="16"/>
    </row>
    <row r="16" customFormat="false" ht="21" hidden="false" customHeight="true" outlineLevel="0" collapsed="false">
      <c r="B16" s="10"/>
      <c r="C16" s="10"/>
      <c r="D16" s="10"/>
      <c r="E16" s="10"/>
      <c r="F16" s="14"/>
      <c r="G16" s="10" t="n">
        <v>0.5</v>
      </c>
      <c r="H16" s="10"/>
      <c r="I16" s="10" t="n">
        <v>600</v>
      </c>
      <c r="J16" s="16"/>
    </row>
    <row r="17" customFormat="false" ht="21" hidden="false" customHeight="true" outlineLevel="0" collapsed="false">
      <c r="B17" s="10"/>
      <c r="C17" s="10"/>
      <c r="D17" s="10"/>
      <c r="E17" s="10"/>
      <c r="F17" s="14"/>
      <c r="G17" s="10" t="n">
        <v>0.6</v>
      </c>
      <c r="H17" s="10"/>
      <c r="I17" s="10" t="n">
        <v>720</v>
      </c>
      <c r="J17" s="16"/>
    </row>
    <row r="18" customFormat="false" ht="21" hidden="false" customHeight="true" outlineLevel="0" collapsed="false">
      <c r="B18" s="10"/>
      <c r="C18" s="10"/>
      <c r="D18" s="10"/>
      <c r="E18" s="10"/>
      <c r="F18" s="14"/>
      <c r="G18" s="10" t="n">
        <v>0.7</v>
      </c>
      <c r="H18" s="10"/>
      <c r="I18" s="10" t="n">
        <v>845</v>
      </c>
      <c r="J18" s="16"/>
    </row>
    <row r="19" customFormat="false" ht="21" hidden="false" customHeight="true" outlineLevel="0" collapsed="false">
      <c r="B19" s="10"/>
      <c r="C19" s="10"/>
      <c r="D19" s="10"/>
      <c r="E19" s="10"/>
      <c r="F19" s="14"/>
      <c r="G19" s="10" t="n">
        <v>0.8</v>
      </c>
      <c r="H19" s="10"/>
      <c r="I19" s="10" t="n">
        <v>955</v>
      </c>
      <c r="J19" s="16"/>
    </row>
    <row r="20" customFormat="false" ht="21" hidden="false" customHeight="true" outlineLevel="0" collapsed="false">
      <c r="B20" s="10"/>
      <c r="C20" s="10"/>
      <c r="D20" s="10"/>
      <c r="E20" s="10"/>
      <c r="F20" s="14"/>
      <c r="G20" s="10" t="n">
        <v>0.9</v>
      </c>
      <c r="H20" s="10"/>
      <c r="I20" s="10" t="n">
        <v>1080</v>
      </c>
      <c r="J20" s="16"/>
    </row>
    <row r="21" customFormat="false" ht="21" hidden="false" customHeight="true" outlineLevel="0" collapsed="false">
      <c r="B21" s="10"/>
      <c r="C21" s="10"/>
      <c r="D21" s="10"/>
      <c r="E21" s="10"/>
      <c r="F21" s="14"/>
      <c r="G21" s="10" t="n">
        <v>1</v>
      </c>
      <c r="H21" s="10"/>
      <c r="I21" s="10" t="n">
        <v>1210</v>
      </c>
      <c r="J21" s="16"/>
    </row>
    <row r="22" customFormat="false" ht="12" hidden="false" customHeight="true" outlineLevel="0" collapsed="false">
      <c r="B22" s="10"/>
      <c r="C22" s="10"/>
      <c r="D22" s="10"/>
      <c r="E22" s="10"/>
      <c r="F22" s="18"/>
      <c r="G22" s="17"/>
      <c r="H22" s="17"/>
      <c r="I22" s="17"/>
      <c r="J22" s="19"/>
    </row>
    <row r="24" customFormat="false" ht="9.75" hidden="false" customHeight="true" outlineLevel="0" collapsed="false"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2"/>
      <c r="M24" s="12"/>
      <c r="N24" s="12"/>
      <c r="O24" s="12"/>
      <c r="P24" s="12"/>
      <c r="Q24" s="12"/>
      <c r="R24" s="12"/>
      <c r="S24" s="12"/>
      <c r="T24" s="13"/>
    </row>
    <row r="25" customFormat="false" ht="21" hidden="false" customHeight="true" outlineLevel="0" collapsed="false">
      <c r="B25" s="10"/>
      <c r="C25" s="10"/>
      <c r="D25" s="10"/>
      <c r="E25" s="10"/>
      <c r="F25" s="10"/>
      <c r="G25" s="10"/>
      <c r="H25" s="10"/>
      <c r="I25" s="10"/>
      <c r="J25" s="10"/>
      <c r="K25" s="14"/>
      <c r="L25" s="20" t="s">
        <v>10</v>
      </c>
      <c r="M25" s="20"/>
      <c r="N25" s="20"/>
      <c r="O25" s="20"/>
      <c r="P25" s="20"/>
      <c r="Q25" s="21"/>
      <c r="R25" s="10"/>
      <c r="S25" s="10"/>
      <c r="T25" s="16"/>
    </row>
    <row r="26" customFormat="false" ht="9.75" hidden="false" customHeight="true" outlineLevel="0" collapsed="false">
      <c r="B26" s="10"/>
      <c r="C26" s="10"/>
      <c r="D26" s="10"/>
      <c r="E26" s="10"/>
      <c r="F26" s="10"/>
      <c r="G26" s="10"/>
      <c r="H26" s="10"/>
      <c r="I26" s="10"/>
      <c r="J26" s="10"/>
      <c r="K26" s="14"/>
      <c r="L26" s="21"/>
      <c r="M26" s="21"/>
      <c r="N26" s="21"/>
      <c r="O26" s="21"/>
      <c r="P26" s="21"/>
      <c r="Q26" s="21"/>
      <c r="R26" s="10"/>
      <c r="S26" s="10"/>
      <c r="T26" s="16"/>
    </row>
    <row r="27" customFormat="false" ht="21" hidden="false" customHeight="true" outlineLevel="0" collapsed="false">
      <c r="B27" s="10"/>
      <c r="C27" s="10"/>
      <c r="D27" s="10"/>
      <c r="E27" s="10"/>
      <c r="F27" s="10"/>
      <c r="G27" s="10"/>
      <c r="H27" s="10"/>
      <c r="I27" s="10"/>
      <c r="J27" s="10"/>
      <c r="K27" s="14"/>
      <c r="L27" s="22" t="s">
        <v>11</v>
      </c>
      <c r="M27" s="22"/>
      <c r="N27" s="22"/>
      <c r="O27" s="22"/>
      <c r="P27" s="22"/>
      <c r="Q27" s="22"/>
      <c r="R27" s="22"/>
      <c r="S27" s="10"/>
      <c r="T27" s="16"/>
      <c r="V27" s="23" t="str">
        <f aca="false">"0.000"</f>
        <v>0.000</v>
      </c>
    </row>
    <row r="28" customFormat="false" ht="9.75" hidden="false" customHeight="true" outlineLevel="0" collapsed="false">
      <c r="B28" s="10"/>
      <c r="C28" s="10"/>
      <c r="D28" s="10"/>
      <c r="E28" s="10"/>
      <c r="F28" s="10"/>
      <c r="G28" s="10"/>
      <c r="H28" s="10"/>
      <c r="I28" s="10"/>
      <c r="J28" s="10"/>
      <c r="K28" s="14"/>
      <c r="L28" s="10"/>
      <c r="M28" s="10"/>
      <c r="N28" s="10"/>
      <c r="O28" s="10"/>
      <c r="P28" s="10"/>
      <c r="Q28" s="10"/>
      <c r="R28" s="10"/>
      <c r="S28" s="10"/>
      <c r="T28" s="16"/>
    </row>
    <row r="29" customFormat="false" ht="22.5" hidden="false" customHeight="true" outlineLevel="0" collapsed="false">
      <c r="B29" s="10"/>
      <c r="C29" s="10"/>
      <c r="D29" s="10"/>
      <c r="E29" s="10"/>
      <c r="F29" s="10"/>
      <c r="G29" s="10"/>
      <c r="H29" s="10"/>
      <c r="I29" s="10"/>
      <c r="J29" s="10"/>
      <c r="K29" s="14"/>
      <c r="L29" s="24" t="s">
        <v>12</v>
      </c>
      <c r="M29" s="24" t="s">
        <v>13</v>
      </c>
      <c r="N29" s="17" t="s">
        <v>14</v>
      </c>
      <c r="O29" s="24" t="s">
        <v>13</v>
      </c>
      <c r="P29" s="17" t="s">
        <v>15</v>
      </c>
      <c r="Q29" s="24" t="s">
        <v>13</v>
      </c>
      <c r="R29" s="25" t="n">
        <f aca="false">200*0.2*3.14/(10.25/100)</f>
        <v>1225.36585365854</v>
      </c>
      <c r="S29" s="26" t="s">
        <v>16</v>
      </c>
      <c r="T29" s="16"/>
    </row>
    <row r="30" customFormat="false" ht="22.5" hidden="false" customHeight="true" outlineLevel="0" collapsed="false">
      <c r="B30" s="10"/>
      <c r="C30" s="10"/>
      <c r="D30" s="10"/>
      <c r="E30" s="10"/>
      <c r="F30" s="10"/>
      <c r="G30" s="10"/>
      <c r="H30" s="10"/>
      <c r="I30" s="10"/>
      <c r="J30" s="10"/>
      <c r="K30" s="14"/>
      <c r="L30" s="24"/>
      <c r="M30" s="24"/>
      <c r="N30" s="10" t="s">
        <v>17</v>
      </c>
      <c r="O30" s="24"/>
      <c r="P30" s="10" t="s">
        <v>18</v>
      </c>
      <c r="Q30" s="24"/>
      <c r="R30" s="25"/>
      <c r="S30" s="26"/>
      <c r="T30" s="16"/>
    </row>
    <row r="31" customFormat="false" ht="15" hidden="false" customHeight="false" outlineLevel="0" collapsed="false">
      <c r="B31" s="10"/>
      <c r="C31" s="10"/>
      <c r="D31" s="10"/>
      <c r="E31" s="10"/>
      <c r="F31" s="10"/>
      <c r="G31" s="10"/>
      <c r="H31" s="10"/>
      <c r="I31" s="10"/>
      <c r="J31" s="10"/>
      <c r="K31" s="14"/>
      <c r="L31" s="10"/>
      <c r="M31" s="10"/>
      <c r="N31" s="10"/>
      <c r="O31" s="10"/>
      <c r="P31" s="10"/>
      <c r="Q31" s="10"/>
      <c r="R31" s="10"/>
      <c r="S31" s="27"/>
      <c r="T31" s="16"/>
    </row>
    <row r="32" customFormat="false" ht="21.75" hidden="false" customHeight="true" outlineLevel="0" collapsed="false">
      <c r="B32" s="10"/>
      <c r="C32" s="10"/>
      <c r="D32" s="10"/>
      <c r="E32" s="10"/>
      <c r="F32" s="10"/>
      <c r="G32" s="10"/>
      <c r="H32" s="10"/>
      <c r="I32" s="10"/>
      <c r="J32" s="10"/>
      <c r="K32" s="14"/>
      <c r="L32" s="24" t="s">
        <v>19</v>
      </c>
      <c r="M32" s="24" t="s">
        <v>13</v>
      </c>
      <c r="N32" s="17" t="s">
        <v>20</v>
      </c>
      <c r="O32" s="24" t="s">
        <v>13</v>
      </c>
      <c r="P32" s="10" t="str">
        <f aca="false">"(" &amp; TEXT(SLOPE(I12:I21,G12:G21), V27) &amp; " ut/a) - (" &amp; TEXT(R29, V27) &amp; " uT/A)"</f>
        <v>(1200.606 ut/a) - (1225.366 uT/A)</v>
      </c>
      <c r="Q32" s="24" t="s">
        <v>13</v>
      </c>
      <c r="R32" s="28" t="n">
        <f aca="false">(SLOPE(I12:I21,G12:G21)-R29)/R29</f>
        <v>-0.0202060413047676</v>
      </c>
      <c r="S32" s="26" t="s">
        <v>16</v>
      </c>
      <c r="T32" s="16"/>
    </row>
    <row r="33" customFormat="false" ht="21.75" hidden="false" customHeight="true" outlineLevel="0" collapsed="false">
      <c r="B33" s="10"/>
      <c r="C33" s="10"/>
      <c r="D33" s="10"/>
      <c r="E33" s="10"/>
      <c r="F33" s="10"/>
      <c r="G33" s="10"/>
      <c r="H33" s="10"/>
      <c r="I33" s="10"/>
      <c r="J33" s="10"/>
      <c r="K33" s="14"/>
      <c r="L33" s="24"/>
      <c r="M33" s="24"/>
      <c r="N33" s="10" t="s">
        <v>21</v>
      </c>
      <c r="O33" s="24"/>
      <c r="P33" s="10" t="str">
        <f aca="false">TEXT(R29,V27) &amp; " uT/A"</f>
        <v>1225.366 uT/A</v>
      </c>
      <c r="Q33" s="24"/>
      <c r="R33" s="24"/>
      <c r="S33" s="26"/>
      <c r="T33" s="16"/>
    </row>
    <row r="34" customFormat="false" ht="9.75" hidden="false" customHeight="true" outlineLevel="0" collapsed="false">
      <c r="B34" s="10"/>
      <c r="C34" s="10"/>
      <c r="D34" s="10"/>
      <c r="E34" s="10"/>
      <c r="F34" s="10"/>
      <c r="G34" s="10"/>
      <c r="H34" s="10"/>
      <c r="I34" s="10"/>
      <c r="J34" s="10"/>
      <c r="K34" s="18"/>
      <c r="L34" s="17"/>
      <c r="M34" s="17"/>
      <c r="N34" s="17"/>
      <c r="O34" s="17"/>
      <c r="P34" s="17"/>
      <c r="Q34" s="17"/>
      <c r="R34" s="17"/>
      <c r="S34" s="17"/>
      <c r="T34" s="19"/>
    </row>
    <row r="35" customFormat="false" ht="15" hidden="false" customHeight="false" outlineLevel="0" collapsed="false"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21.75" hidden="false" customHeight="true" outlineLevel="0" collapsed="false">
      <c r="B36" s="9" t="s">
        <v>22</v>
      </c>
      <c r="C36" s="9"/>
      <c r="D36" s="9"/>
    </row>
    <row r="37" customFormat="false" ht="9" hidden="false" customHeight="true" outlineLevel="0" collapsed="false"/>
    <row r="38" customFormat="false" ht="10.5" hidden="false" customHeight="true" outlineLevel="0" collapsed="false">
      <c r="B38" s="11"/>
      <c r="C38" s="12"/>
      <c r="D38" s="12"/>
      <c r="E38" s="12"/>
      <c r="F38" s="12"/>
      <c r="G38" s="12"/>
      <c r="H38" s="12"/>
      <c r="I38" s="12"/>
      <c r="J38" s="13"/>
    </row>
    <row r="39" customFormat="false" ht="21" hidden="false" customHeight="true" outlineLevel="0" collapsed="false">
      <c r="B39" s="14"/>
      <c r="C39" s="24" t="s">
        <v>23</v>
      </c>
      <c r="D39" s="24"/>
      <c r="E39" s="24"/>
      <c r="F39" s="24"/>
      <c r="G39" s="24"/>
      <c r="H39" s="24"/>
      <c r="I39" s="24"/>
      <c r="J39" s="16"/>
    </row>
    <row r="40" customFormat="false" ht="10.5" hidden="false" customHeight="true" outlineLevel="0" collapsed="false">
      <c r="B40" s="14"/>
      <c r="C40" s="10"/>
      <c r="D40" s="10"/>
      <c r="E40" s="10"/>
      <c r="F40" s="10"/>
      <c r="G40" s="10"/>
      <c r="H40" s="10"/>
      <c r="I40" s="10"/>
      <c r="J40" s="16"/>
    </row>
    <row r="41" customFormat="false" ht="21" hidden="false" customHeight="true" outlineLevel="0" collapsed="false">
      <c r="B41" s="14"/>
      <c r="C41" s="22"/>
      <c r="D41" s="22"/>
      <c r="E41" s="22"/>
      <c r="F41" s="22"/>
      <c r="G41" s="22"/>
      <c r="H41" s="22"/>
      <c r="I41" s="22"/>
      <c r="J41" s="16"/>
    </row>
    <row r="42" customFormat="false" ht="10.5" hidden="false" customHeight="true" outlineLevel="0" collapsed="false">
      <c r="B42" s="14"/>
      <c r="C42" s="10"/>
      <c r="D42" s="10"/>
      <c r="E42" s="10"/>
      <c r="F42" s="10"/>
      <c r="G42" s="10"/>
      <c r="H42" s="10"/>
      <c r="I42" s="10"/>
      <c r="J42" s="16"/>
    </row>
    <row r="43" customFormat="false" ht="21" hidden="false" customHeight="true" outlineLevel="0" collapsed="false">
      <c r="B43" s="14"/>
      <c r="C43" s="17" t="s">
        <v>24</v>
      </c>
      <c r="D43" s="10"/>
      <c r="E43" s="17" t="s">
        <v>25</v>
      </c>
      <c r="F43" s="10"/>
      <c r="G43" s="17" t="s">
        <v>26</v>
      </c>
      <c r="H43" s="10"/>
      <c r="I43" s="17" t="s">
        <v>27</v>
      </c>
      <c r="J43" s="16"/>
    </row>
    <row r="44" customFormat="false" ht="29.25" hidden="false" customHeight="true" outlineLevel="0" collapsed="false">
      <c r="B44" s="14"/>
      <c r="C44" s="29" t="n">
        <v>4</v>
      </c>
      <c r="D44" s="10"/>
      <c r="E44" s="10" t="n">
        <v>1010</v>
      </c>
      <c r="F44" s="10"/>
      <c r="G44" s="29" t="n">
        <f aca="false">C44*C44</f>
        <v>16</v>
      </c>
      <c r="H44" s="10"/>
      <c r="I44" s="29" t="n">
        <f aca="false">POWER(E44,-2/3)*10000</f>
        <v>99.3388399546623</v>
      </c>
      <c r="J44" s="16"/>
    </row>
    <row r="45" customFormat="false" ht="29.25" hidden="false" customHeight="true" outlineLevel="0" collapsed="false">
      <c r="B45" s="14"/>
      <c r="C45" s="29" t="n">
        <v>6</v>
      </c>
      <c r="D45" s="10"/>
      <c r="E45" s="10" t="n">
        <v>815</v>
      </c>
      <c r="F45" s="10"/>
      <c r="G45" s="29" t="n">
        <f aca="false">C45*C45</f>
        <v>36</v>
      </c>
      <c r="H45" s="10"/>
      <c r="I45" s="29" t="n">
        <f aca="false">POWER(E45,-2/3)*10000</f>
        <v>114.611516984981</v>
      </c>
      <c r="J45" s="16"/>
    </row>
    <row r="46" customFormat="false" ht="29.25" hidden="false" customHeight="true" outlineLevel="0" collapsed="false">
      <c r="B46" s="14"/>
      <c r="C46" s="29" t="n">
        <v>8</v>
      </c>
      <c r="D46" s="10"/>
      <c r="E46" s="10" t="n">
        <v>635</v>
      </c>
      <c r="F46" s="10"/>
      <c r="G46" s="29" t="n">
        <f aca="false">C46*C46</f>
        <v>64</v>
      </c>
      <c r="H46" s="10"/>
      <c r="I46" s="29" t="n">
        <f aca="false">POWER(E46,-2/3)*10000</f>
        <v>135.35807928092</v>
      </c>
      <c r="J46" s="16"/>
    </row>
    <row r="47" customFormat="false" ht="29.25" hidden="false" customHeight="true" outlineLevel="0" collapsed="false">
      <c r="B47" s="14"/>
      <c r="C47" s="29" t="n">
        <v>10</v>
      </c>
      <c r="D47" s="10"/>
      <c r="E47" s="10" t="n">
        <v>460</v>
      </c>
      <c r="F47" s="10"/>
      <c r="G47" s="29" t="n">
        <f aca="false">C47*C47</f>
        <v>100</v>
      </c>
      <c r="H47" s="10"/>
      <c r="I47" s="29" t="n">
        <f aca="false">POWER(E47,-2/3)*10000</f>
        <v>167.813970203514</v>
      </c>
      <c r="J47" s="16"/>
    </row>
    <row r="48" customFormat="false" ht="29.25" hidden="false" customHeight="true" outlineLevel="0" collapsed="false">
      <c r="B48" s="14"/>
      <c r="C48" s="29" t="n">
        <v>12</v>
      </c>
      <c r="D48" s="10"/>
      <c r="E48" s="10" t="n">
        <v>340</v>
      </c>
      <c r="F48" s="10"/>
      <c r="G48" s="29" t="n">
        <f aca="false">C48*C48</f>
        <v>144</v>
      </c>
      <c r="H48" s="10"/>
      <c r="I48" s="29" t="n">
        <f aca="false">POWER(E48,-2/3)*10000</f>
        <v>205.28035432085</v>
      </c>
      <c r="J48" s="16"/>
    </row>
    <row r="49" customFormat="false" ht="29.25" hidden="false" customHeight="true" outlineLevel="0" collapsed="false">
      <c r="B49" s="14"/>
      <c r="C49" s="29" t="n">
        <v>14</v>
      </c>
      <c r="D49" s="10"/>
      <c r="E49" s="10" t="n">
        <v>255</v>
      </c>
      <c r="F49" s="10"/>
      <c r="G49" s="29" t="n">
        <f aca="false">C49*C49</f>
        <v>196</v>
      </c>
      <c r="H49" s="10"/>
      <c r="I49" s="29" t="n">
        <f aca="false">POWER(E49,-2/3)*10000</f>
        <v>248.679439426863</v>
      </c>
      <c r="J49" s="16"/>
    </row>
    <row r="50" customFormat="false" ht="10.5" hidden="false" customHeight="true" outlineLevel="0" collapsed="false">
      <c r="B50" s="18"/>
      <c r="C50" s="17"/>
      <c r="D50" s="17"/>
      <c r="E50" s="17"/>
      <c r="F50" s="17"/>
      <c r="G50" s="17"/>
      <c r="H50" s="17"/>
      <c r="I50" s="17"/>
      <c r="J50" s="19"/>
    </row>
    <row r="52" customFormat="false" ht="15" hidden="false" customHeight="false" outlineLevel="0" collapsed="false">
      <c r="K52" s="30"/>
      <c r="L52" s="30"/>
      <c r="M52" s="30"/>
      <c r="N52" s="30"/>
      <c r="O52" s="30"/>
      <c r="P52" s="30"/>
      <c r="Q52" s="30"/>
      <c r="R52" s="30"/>
      <c r="S52" s="30"/>
      <c r="T52" s="31"/>
      <c r="U52" s="31"/>
      <c r="V52" s="31"/>
      <c r="W52" s="32"/>
    </row>
    <row r="53" customFormat="false" ht="21" hidden="false" customHeight="true" outlineLevel="0" collapsed="false">
      <c r="K53" s="33"/>
      <c r="L53" s="20" t="s">
        <v>10</v>
      </c>
      <c r="M53" s="20"/>
      <c r="N53" s="20"/>
      <c r="O53" s="20"/>
      <c r="P53" s="20"/>
      <c r="Q53" s="34"/>
      <c r="R53" s="34"/>
      <c r="S53" s="34"/>
      <c r="W53" s="35"/>
    </row>
    <row r="54" customFormat="false" ht="15" hidden="false" customHeight="false" outlineLevel="0" collapsed="false">
      <c r="K54" s="36"/>
      <c r="W54" s="35"/>
    </row>
    <row r="55" customFormat="false" ht="21" hidden="false" customHeight="true" outlineLevel="0" collapsed="false">
      <c r="K55" s="33"/>
      <c r="L55" s="22" t="s">
        <v>11</v>
      </c>
      <c r="M55" s="22"/>
      <c r="N55" s="22"/>
      <c r="O55" s="22"/>
      <c r="P55" s="22"/>
      <c r="Q55" s="22"/>
      <c r="R55" s="22"/>
      <c r="S55" s="22"/>
      <c r="W55" s="35"/>
    </row>
    <row r="56" customFormat="false" ht="15" hidden="false" customHeight="false" outlineLevel="0" collapsed="false">
      <c r="K56" s="36"/>
      <c r="W56" s="35"/>
    </row>
    <row r="57" customFormat="false" ht="28.5" hidden="false" customHeight="true" outlineLevel="0" collapsed="false">
      <c r="K57" s="36"/>
      <c r="L57" s="27" t="s">
        <v>28</v>
      </c>
      <c r="M57" s="10" t="s">
        <v>13</v>
      </c>
      <c r="N57" s="10" t="s">
        <v>29</v>
      </c>
      <c r="O57" s="10" t="s">
        <v>13</v>
      </c>
      <c r="P57" s="24" t="s">
        <v>30</v>
      </c>
      <c r="Q57" s="24"/>
      <c r="R57" s="24"/>
      <c r="S57" s="24"/>
      <c r="T57" s="10" t="s">
        <v>13</v>
      </c>
      <c r="U57" s="37" t="n">
        <f aca="false">POWER(200 * 0.0000002 * PI() * 1 * POWER(10.25/100,2), -2/3)</f>
        <v>8309.2457468004</v>
      </c>
      <c r="V57" s="38" t="s">
        <v>31</v>
      </c>
      <c r="W57" s="35"/>
    </row>
    <row r="58" customFormat="false" ht="15" hidden="false" customHeight="false" outlineLevel="0" collapsed="false">
      <c r="K58" s="36"/>
      <c r="W58" s="35"/>
    </row>
    <row r="59" customFormat="false" ht="22.5" hidden="false" customHeight="true" outlineLevel="0" collapsed="false">
      <c r="K59" s="36"/>
      <c r="L59" s="24" t="s">
        <v>19</v>
      </c>
      <c r="M59" s="24" t="s">
        <v>13</v>
      </c>
      <c r="N59" s="17" t="s">
        <v>20</v>
      </c>
      <c r="O59" s="24" t="s">
        <v>13</v>
      </c>
      <c r="P59" s="10" t="s">
        <v>32</v>
      </c>
      <c r="Q59" s="24" t="s">
        <v>13</v>
      </c>
      <c r="R59" s="39" t="n">
        <f aca="false">(SLOPE(I44:I49,G44:G49)*10000 - U57)/U57</f>
        <v>0.00685732841890495</v>
      </c>
      <c r="S59" s="39"/>
      <c r="T59" s="40" t="s">
        <v>33</v>
      </c>
      <c r="W59" s="35"/>
    </row>
    <row r="60" customFormat="false" ht="22.5" hidden="false" customHeight="true" outlineLevel="0" collapsed="false">
      <c r="K60" s="36"/>
      <c r="L60" s="24"/>
      <c r="M60" s="24"/>
      <c r="N60" s="10" t="s">
        <v>21</v>
      </c>
      <c r="O60" s="24"/>
      <c r="P60" s="10" t="n">
        <v>8309.35</v>
      </c>
      <c r="Q60" s="24"/>
      <c r="R60" s="39"/>
      <c r="S60" s="39"/>
      <c r="T60" s="0" t="s">
        <v>34</v>
      </c>
      <c r="W60" s="35"/>
    </row>
    <row r="61" customFormat="false" ht="15" hidden="false" customHeight="false" outlineLevel="0" collapsed="false">
      <c r="K61" s="41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3"/>
    </row>
    <row r="1048576" customFormat="false" ht="12.8" hidden="false" customHeight="false" outlineLevel="0" collapsed="false"/>
  </sheetData>
  <mergeCells count="35">
    <mergeCell ref="C2:D2"/>
    <mergeCell ref="E2:N2"/>
    <mergeCell ref="C3:D3"/>
    <mergeCell ref="E3:N3"/>
    <mergeCell ref="C4:D4"/>
    <mergeCell ref="E4:K4"/>
    <mergeCell ref="L4:M4"/>
    <mergeCell ref="F6:H6"/>
    <mergeCell ref="G9:I9"/>
    <mergeCell ref="L25:P25"/>
    <mergeCell ref="L27:R27"/>
    <mergeCell ref="L29:L30"/>
    <mergeCell ref="M29:M30"/>
    <mergeCell ref="O29:O30"/>
    <mergeCell ref="Q29:Q30"/>
    <mergeCell ref="R29:R30"/>
    <mergeCell ref="S29:S30"/>
    <mergeCell ref="L32:L33"/>
    <mergeCell ref="M32:M33"/>
    <mergeCell ref="O32:O33"/>
    <mergeCell ref="Q32:Q33"/>
    <mergeCell ref="R32:R33"/>
    <mergeCell ref="S32:S33"/>
    <mergeCell ref="B36:D36"/>
    <mergeCell ref="C39:I39"/>
    <mergeCell ref="C41:I41"/>
    <mergeCell ref="K52:S52"/>
    <mergeCell ref="L53:P53"/>
    <mergeCell ref="L55:S55"/>
    <mergeCell ref="P57:S57"/>
    <mergeCell ref="L59:L60"/>
    <mergeCell ref="M59:M60"/>
    <mergeCell ref="O59:O60"/>
    <mergeCell ref="Q59:Q60"/>
    <mergeCell ref="R59:S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LibreOffice/25.8.6.2$Linux_AARCH64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2026-04-29T16:17:47Z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