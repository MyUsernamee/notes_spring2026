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Graphs Calcul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<sst xmlns="http://schemas.openxmlformats.org/spreadsheetml/2006/main" count="41" uniqueCount="25">
  <si>
    <t xml:space="preserve">Name:</t>
  </si>
  <si>
    <t xml:space="preserve">Partner(s):</t>
  </si>
  <si>
    <t xml:space="preserve">Date:</t>
  </si>
  <si>
    <t xml:space="preserve">Table #: </t>
  </si>
  <si>
    <t xml:space="preserve">Current v.s. Magnetic Field Strength</t>
  </si>
  <si>
    <t xml:space="preserve">Larger Coil #1</t>
  </si>
  <si>
    <t xml:space="preserve">length:  </t>
  </si>
  <si>
    <t xml:space="preserve">mm</t>
  </si>
  <si>
    <t xml:space="preserve"># of turns: </t>
  </si>
  <si>
    <t xml:space="preserve">   Calculations</t>
  </si>
  <si>
    <t xml:space="preserve">I (mA)</t>
  </si>
  <si>
    <t xml:space="preserve">B (uT)</t>
  </si>
  <si>
    <t xml:space="preserve">Smaller Coil #2</t>
  </si>
  <si>
    <t xml:space="preserve">Calculate the </t>
  </si>
  <si>
    <t xml:space="preserve">n</t>
  </si>
  <si>
    <t xml:space="preserve">=</t>
  </si>
  <si>
    <t xml:space="preserve">(# of turns)</t>
  </si>
  <si>
    <t xml:space="preserve"> ( 55 turns )</t>
  </si>
  <si>
    <t xml:space="preserve">length (m)</t>
  </si>
  <si>
    <t xml:space="preserve">(10 mm)</t>
  </si>
  <si>
    <t xml:space="preserve">slope</t>
  </si>
  <si>
    <r>
      <rPr>
        <sz val="11"/>
        <color theme="1"/>
        <rFont val="Calibri"/>
        <family val="2"/>
        <charset val="1"/>
      </rPr>
      <t xml:space="preserve">(8.37 x10</t>
    </r>
    <r>
      <rPr>
        <vertAlign val="superscript"/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Calibri"/>
        <family val="2"/>
        <charset val="1"/>
      </rPr>
      <t xml:space="preserve"> uT/A)</t>
    </r>
  </si>
  <si>
    <r>
      <rPr>
        <sz val="11"/>
        <color theme="1"/>
        <rFont val="Standard Symbols PS"/>
        <family val="0"/>
        <charset val="1"/>
      </rPr>
      <t xml:space="preserve">m</t>
    </r>
    <r>
      <rPr>
        <vertAlign val="subscript"/>
        <sz val="11"/>
        <color theme="1"/>
        <rFont val="Calibri"/>
        <family val="2"/>
        <charset val="1"/>
      </rPr>
      <t xml:space="preserve">0</t>
    </r>
  </si>
  <si>
    <t xml:space="preserve">(0.4 p mT / A)</t>
  </si>
  <si>
    <t xml:space="preserve">Compare measured and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</si>
</sst>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0"/>
    <numFmt numFmtId="167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b val="true"/>
      <i val="true"/>
      <sz val="12"/>
      <color theme="1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1"/>
      <color theme="1"/>
      <name val="Calibri"/>
      <family val="2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Symbol"/>
      <family val="1"/>
      <charset val="2"/>
    </font>
    <font>
      <vertAlign val="superscript"/>
      <sz val="11"/>
      <color theme="1"/>
      <name val="Calibri"/>
      <family val="2"/>
      <charset val="1"/>
    </font>
    <font>
      <sz val="11"/>
      <color theme="1"/>
      <name val="Standard Symbols PS"/>
      <family val="0"/>
      <charset val="1"/>
    </font>
    <font>
      <vertAlign val="subscript"/>
      <sz val="11"/>
      <color theme="1"/>
      <name val="Calibri"/>
      <family val="2"/>
      <charset val="1"/>
    </font>
    <font>
      <sz val="13"/>
      <name val="Arial"/>
      <family val="2"/>
    </font>
    <font>
      <sz val="10"/>
      <color rgb="FF004586"/>
      <name val="Arial"/>
      <family val="2"/>
    </font>
    <font>
      <sz val="10"/>
      <color rgb="FFFF420E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Current v.s. Magnetic Field Strength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'Data Graphs Calculations'!$I$8</c:f>
              <c:strCache>
                <c:ptCount val="1"/>
                <c:pt idx="0">
                  <c:v>Larger Coil #1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name>Coil #1</c:nam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'Data Graphs Calculations'!$C$10:$C$19</c:f>
              <c:numCache>
                <c:formatCode>0.000</c:formatCode>
                <c:ptCount val="10"/>
                <c:pt idx="0">
                  <c:v>19.5</c:v>
                </c:pt>
                <c:pt idx="1">
                  <c:v>40.3</c:v>
                </c:pt>
                <c:pt idx="2">
                  <c:v>60.3</c:v>
                </c:pt>
                <c:pt idx="3">
                  <c:v>80.2</c:v>
                </c:pt>
                <c:pt idx="4">
                  <c:v>99.4</c:v>
                </c:pt>
                <c:pt idx="5">
                  <c:v>119.5</c:v>
                </c:pt>
                <c:pt idx="6">
                  <c:v>140.2</c:v>
                </c:pt>
                <c:pt idx="7">
                  <c:v>160</c:v>
                </c:pt>
                <c:pt idx="8">
                  <c:v>180.6</c:v>
                </c:pt>
                <c:pt idx="9">
                  <c:v>199.2</c:v>
                </c:pt>
              </c:numCache>
            </c:numRef>
          </c:xVal>
          <c:yVal>
            <c:numRef>
              <c:f>'Data Graphs Calculations'!$E$10:$E$19</c:f>
              <c:numCache>
                <c:formatCode>0.00</c:formatCode>
                <c:ptCount val="10"/>
                <c:pt idx="0">
                  <c:v>162</c:v>
                </c:pt>
                <c:pt idx="1">
                  <c:v>331</c:v>
                </c:pt>
                <c:pt idx="2">
                  <c:v>509</c:v>
                </c:pt>
                <c:pt idx="3">
                  <c:v>675</c:v>
                </c:pt>
                <c:pt idx="4">
                  <c:v>834</c:v>
                </c:pt>
                <c:pt idx="5">
                  <c:v>983</c:v>
                </c:pt>
                <c:pt idx="6">
                  <c:v>1179</c:v>
                </c:pt>
                <c:pt idx="7">
                  <c:v>1336</c:v>
                </c:pt>
                <c:pt idx="8">
                  <c:v>1526</c:v>
                </c:pt>
                <c:pt idx="9">
                  <c:v>1663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'Data Graphs Calculations'!$I$9</c:f>
              <c:strCache>
                <c:ptCount val="1"/>
                <c:pt idx="0">
                  <c:v>Smaller Coil #2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name>Coil #2</c:name>
            <c:spPr>
              <a:ln w="0">
                <a:solidFill>
                  <a:srgbClr val="ff420e"/>
                </a:solidFill>
              </a:ln>
            </c:spPr>
            <c:trendlineType val="linear"/>
            <c:forward val="0"/>
            <c:backward val="0"/>
            <c:intercept val="0"/>
            <c:dispRSqr val="0"/>
            <c:dispEq val="1"/>
          </c:trendline>
          <c:xVal>
            <c:numRef>
              <c:f>'Data Graphs Calculations'!$C$28:$C$37</c:f>
              <c:numCache>
                <c:formatCode>0.000</c:formatCode>
                <c:ptCount val="10"/>
                <c:pt idx="0">
                  <c:v>20.2</c:v>
                </c:pt>
                <c:pt idx="1">
                  <c:v>39.5</c:v>
                </c:pt>
                <c:pt idx="2">
                  <c:v>60.3</c:v>
                </c:pt>
                <c:pt idx="3">
                  <c:v>80.3</c:v>
                </c:pt>
                <c:pt idx="4">
                  <c:v>100.3</c:v>
                </c:pt>
                <c:pt idx="5">
                  <c:v>120.2</c:v>
                </c:pt>
                <c:pt idx="6">
                  <c:v>140.4</c:v>
                </c:pt>
                <c:pt idx="7">
                  <c:v>159.9</c:v>
                </c:pt>
                <c:pt idx="8">
                  <c:v>180</c:v>
                </c:pt>
                <c:pt idx="9">
                  <c:v>198.7</c:v>
                </c:pt>
              </c:numCache>
            </c:numRef>
          </c:xVal>
          <c:yVal>
            <c:numRef>
              <c:f>'Data Graphs Calculations'!$E$28:$E$37</c:f>
              <c:numCache>
                <c:formatCode>0.00</c:formatCode>
                <c:ptCount val="10"/>
                <c:pt idx="0">
                  <c:v>112</c:v>
                </c:pt>
                <c:pt idx="1">
                  <c:v>197</c:v>
                </c:pt>
                <c:pt idx="2">
                  <c:v>304</c:v>
                </c:pt>
                <c:pt idx="3">
                  <c:v>389</c:v>
                </c:pt>
                <c:pt idx="4">
                  <c:v>484</c:v>
                </c:pt>
                <c:pt idx="5">
                  <c:v>596</c:v>
                </c:pt>
                <c:pt idx="6">
                  <c:v>685</c:v>
                </c:pt>
                <c:pt idx="7">
                  <c:v>792</c:v>
                </c:pt>
                <c:pt idx="8">
                  <c:v>890</c:v>
                </c:pt>
                <c:pt idx="9">
                  <c:v>985</c:v>
                </c:pt>
              </c:numCache>
            </c:numRef>
          </c:yVal>
          <c:smooth val="0"/>
        </c:ser>
        <c:axId val="84368257"/>
        <c:axId val="27563951"/>
      </c:scatterChart>
      <c:valAx>
        <c:axId val="843682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I (mA)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7563951"/>
        <c:crosses val="autoZero"/>
        <c:crossBetween val="between"/>
      </c:valAx>
      <c:valAx>
        <c:axId val="275639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B (uT)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436825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178920</xdr:colOff>
      <xdr:row>9</xdr:row>
      <xdr:rowOff>166680</xdr:rowOff>
    </xdr:from>
    <xdr:to>
      <xdr:col>15</xdr:col>
      <xdr:colOff>119880</xdr:colOff>
      <xdr:row>23</xdr:row>
      <xdr:rowOff>62280</xdr:rowOff>
    </xdr:to>
    <xdr:graphicFrame>
      <xdr:nvGraphicFramePr>
        <xdr:cNvPr id="1" name=""/>
        <xdr:cNvGraphicFramePr/>
      </xdr:nvGraphicFramePr>
      <xdr:xfrm>
        <a:off x="2765160" y="2805120"/>
        <a:ext cx="5299920" cy="3315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A38"/>
  <sheetViews>
    <sheetView showFormulas="false" showGridLines="true" showRowColHeaders="true" showZeros="true" rightToLeft="false" tabSelected="true" showOutlineSymbols="true" defaultGridColor="true" view="normal" topLeftCell="C7" colorId="64" zoomScale="59" zoomScaleNormal="59" zoomScalePageLayoutView="100" workbookViewId="0">
      <selection pane="topLeft" activeCell="Q10" activeCellId="0" sqref="Q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2.71"/>
    <col collapsed="false" customWidth="true" hidden="false" outlineLevel="0" max="3" min="3" style="0" width="12.57"/>
    <col collapsed="false" customWidth="true" hidden="false" outlineLevel="0" max="4" min="4" style="0" width="2.71"/>
    <col collapsed="false" customWidth="true" hidden="false" outlineLevel="0" max="5" min="5" style="0" width="12.57"/>
    <col collapsed="false" customWidth="true" hidden="false" outlineLevel="0" max="6" min="6" style="0" width="2.71"/>
    <col collapsed="false" customWidth="true" hidden="false" outlineLevel="0" max="7" min="7" style="0" width="5.71"/>
    <col collapsed="false" customWidth="true" hidden="false" outlineLevel="0" max="8" min="8" style="0" width="2.71"/>
    <col collapsed="false" customWidth="true" hidden="false" outlineLevel="0" max="9" min="9" style="0" width="14.76"/>
    <col collapsed="false" customWidth="true" hidden="false" outlineLevel="0" max="11" min="10" style="0" width="9.71"/>
    <col collapsed="false" customWidth="true" hidden="false" outlineLevel="0" max="12" min="12" style="0" width="6"/>
    <col collapsed="false" customWidth="true" hidden="false" outlineLevel="0" max="13" min="13" style="0" width="5.29"/>
    <col collapsed="false" customWidth="true" hidden="false" outlineLevel="0" max="14" min="14" style="0" width="12.42"/>
    <col collapsed="false" customWidth="true" hidden="false" outlineLevel="0" max="15" min="15" style="0" width="9.71"/>
    <col collapsed="false" customWidth="true" hidden="false" outlineLevel="0" max="16" min="16" style="0" width="3"/>
    <col collapsed="false" customWidth="true" hidden="false" outlineLevel="0" max="17" min="17" style="0" width="9.71"/>
    <col collapsed="false" customWidth="true" hidden="false" outlineLevel="0" max="18" min="18" style="0" width="4.42"/>
    <col collapsed="false" customWidth="true" hidden="false" outlineLevel="0" max="20" min="20" style="0" width="4.42"/>
    <col collapsed="false" customWidth="true" hidden="false" outlineLevel="0" max="21" min="21" style="0" width="16.43"/>
    <col collapsed="false" customWidth="true" hidden="false" outlineLevel="0" max="22" min="22" style="0" width="4.42"/>
    <col collapsed="false" customWidth="true" hidden="false" outlineLevel="0" max="23" min="23" style="0" width="27.42"/>
    <col collapsed="false" customWidth="true" hidden="false" outlineLevel="0" max="24" min="24" style="0" width="4.42"/>
    <col collapsed="false" customWidth="true" hidden="false" outlineLevel="0" max="25" min="25" style="0" width="9.57"/>
    <col collapsed="false" customWidth="true" hidden="false" outlineLevel="0" max="26" min="26" style="0" width="7.71"/>
    <col collapsed="false" customWidth="true" hidden="false" outlineLevel="0" max="27" min="27" style="0" width="4.42"/>
    <col collapsed="false" customWidth="true" hidden="false" outlineLevel="0" max="30" min="30" style="0" width="4.42"/>
  </cols>
  <sheetData>
    <row r="2" customFormat="false" ht="31.5" hidden="false" customHeight="true" outlineLevel="0" collapsed="false">
      <c r="B2" s="1" t="s">
        <v>0</v>
      </c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3"/>
    </row>
    <row r="3" customFormat="false" ht="31.5" hidden="false" customHeight="true" outlineLevel="0" collapsed="false">
      <c r="B3" s="4" t="s">
        <v>1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3"/>
      <c r="O3" s="3"/>
      <c r="P3" s="3"/>
    </row>
    <row r="4" customFormat="false" ht="31.5" hidden="false" customHeight="true" outlineLevel="0" collapsed="false">
      <c r="B4" s="6" t="s">
        <v>2</v>
      </c>
      <c r="C4" s="6"/>
      <c r="D4" s="7"/>
      <c r="E4" s="7"/>
      <c r="F4" s="7"/>
      <c r="G4" s="7"/>
      <c r="H4" s="7"/>
      <c r="I4" s="7"/>
      <c r="J4" s="7"/>
      <c r="K4" s="8" t="s">
        <v>3</v>
      </c>
      <c r="L4" s="9"/>
      <c r="M4" s="9"/>
      <c r="N4" s="3"/>
      <c r="O4" s="3"/>
      <c r="P4" s="3"/>
    </row>
    <row r="5" customFormat="false" ht="21.75" hidden="false" customHeight="true" outlineLevel="0" collapsed="false"/>
    <row r="6" customFormat="false" ht="12" hidden="false" customHeight="true" outlineLevel="0" collapsed="false"/>
    <row r="7" customFormat="false" ht="12" hidden="false" customHeight="true" outlineLevel="0" collapsed="false">
      <c r="A7" s="10"/>
      <c r="B7" s="11"/>
      <c r="C7" s="12"/>
      <c r="D7" s="12"/>
      <c r="E7" s="12"/>
      <c r="F7" s="13"/>
      <c r="G7" s="10"/>
      <c r="H7" s="11"/>
      <c r="I7" s="12"/>
      <c r="J7" s="12"/>
      <c r="K7" s="12"/>
      <c r="L7" s="12"/>
      <c r="M7" s="12"/>
      <c r="N7" s="12"/>
      <c r="O7" s="12"/>
      <c r="P7" s="13"/>
      <c r="Q7" s="10"/>
      <c r="R7" s="11"/>
      <c r="S7" s="12"/>
      <c r="T7" s="12"/>
      <c r="U7" s="12"/>
      <c r="V7" s="12"/>
      <c r="W7" s="12"/>
      <c r="X7" s="12"/>
      <c r="Y7" s="12"/>
      <c r="Z7" s="12"/>
      <c r="AA7" s="13"/>
    </row>
    <row r="8" customFormat="false" ht="29.25" hidden="false" customHeight="true" outlineLevel="0" collapsed="false">
      <c r="A8" s="10"/>
      <c r="B8" s="14"/>
      <c r="C8" s="15" t="s">
        <v>4</v>
      </c>
      <c r="D8" s="15"/>
      <c r="E8" s="15"/>
      <c r="F8" s="16"/>
      <c r="G8" s="17"/>
      <c r="H8" s="18"/>
      <c r="I8" s="19" t="s">
        <v>5</v>
      </c>
      <c r="J8" s="20" t="s">
        <v>6</v>
      </c>
      <c r="K8" s="19" t="n">
        <v>10</v>
      </c>
      <c r="L8" s="15" t="s">
        <v>7</v>
      </c>
      <c r="M8" s="19"/>
      <c r="N8" s="20" t="s">
        <v>8</v>
      </c>
      <c r="O8" s="21" t="n">
        <v>55</v>
      </c>
      <c r="P8" s="16"/>
      <c r="Q8" s="10"/>
      <c r="R8" s="14"/>
      <c r="S8" s="22" t="s">
        <v>9</v>
      </c>
      <c r="T8" s="22"/>
      <c r="U8" s="22"/>
      <c r="V8" s="22"/>
      <c r="W8" s="22"/>
      <c r="X8" s="23"/>
      <c r="Y8" s="10"/>
      <c r="Z8" s="10"/>
      <c r="AA8" s="24"/>
    </row>
    <row r="9" customFormat="false" ht="23.25" hidden="false" customHeight="true" outlineLevel="0" collapsed="false">
      <c r="A9" s="25"/>
      <c r="B9" s="26"/>
      <c r="C9" s="27" t="s">
        <v>10</v>
      </c>
      <c r="D9" s="10"/>
      <c r="E9" s="27" t="s">
        <v>11</v>
      </c>
      <c r="F9" s="24"/>
      <c r="G9" s="10"/>
      <c r="H9" s="28"/>
      <c r="I9" s="29" t="s">
        <v>12</v>
      </c>
      <c r="J9" s="30" t="s">
        <v>6</v>
      </c>
      <c r="K9" s="31" t="n">
        <v>10</v>
      </c>
      <c r="L9" s="27" t="s">
        <v>7</v>
      </c>
      <c r="M9" s="32"/>
      <c r="N9" s="30" t="s">
        <v>8</v>
      </c>
      <c r="O9" s="33" t="n">
        <v>22</v>
      </c>
      <c r="P9" s="34"/>
      <c r="Q9" s="10"/>
      <c r="R9" s="14"/>
      <c r="S9" s="35" t="s">
        <v>13</v>
      </c>
      <c r="T9" s="35"/>
      <c r="U9" s="35"/>
      <c r="V9" s="35"/>
      <c r="W9" s="35"/>
      <c r="X9" s="23"/>
      <c r="Y9" s="10"/>
      <c r="Z9" s="10"/>
      <c r="AA9" s="24"/>
    </row>
    <row r="10" customFormat="false" ht="23.25" hidden="false" customHeight="true" outlineLevel="0" collapsed="false">
      <c r="A10" s="25"/>
      <c r="B10" s="26"/>
      <c r="C10" s="36" t="n">
        <v>19.5</v>
      </c>
      <c r="D10" s="37"/>
      <c r="E10" s="38" t="n">
        <v>162</v>
      </c>
      <c r="F10" s="39"/>
      <c r="G10" s="38"/>
      <c r="H10" s="25"/>
      <c r="I10" s="25"/>
      <c r="J10" s="36"/>
      <c r="K10" s="25"/>
      <c r="L10" s="25"/>
      <c r="M10" s="25"/>
      <c r="N10" s="25"/>
      <c r="O10" s="25"/>
      <c r="P10" s="25"/>
      <c r="Q10" s="10"/>
      <c r="R10" s="14"/>
      <c r="S10" s="40" t="s">
        <v>14</v>
      </c>
      <c r="T10" s="15" t="s">
        <v>15</v>
      </c>
      <c r="U10" s="10" t="s">
        <v>16</v>
      </c>
      <c r="V10" s="15" t="s">
        <v>15</v>
      </c>
      <c r="W10" s="10" t="s">
        <v>17</v>
      </c>
      <c r="X10" s="15" t="s">
        <v>15</v>
      </c>
      <c r="Y10" s="41" t="n">
        <f aca="false">O8/(K8/1000)</f>
        <v>5500</v>
      </c>
      <c r="Z10" s="10"/>
      <c r="AA10" s="24"/>
    </row>
    <row r="11" customFormat="false" ht="21" hidden="false" customHeight="true" outlineLevel="0" collapsed="false">
      <c r="A11" s="25"/>
      <c r="B11" s="26"/>
      <c r="C11" s="36" t="n">
        <v>40.3</v>
      </c>
      <c r="D11" s="37"/>
      <c r="E11" s="38" t="n">
        <v>331</v>
      </c>
      <c r="F11" s="39"/>
      <c r="G11" s="38"/>
      <c r="H11" s="25"/>
      <c r="I11" s="25"/>
      <c r="J11" s="36"/>
      <c r="K11" s="25"/>
      <c r="L11" s="25"/>
      <c r="M11" s="25"/>
      <c r="N11" s="25"/>
      <c r="O11" s="25"/>
      <c r="P11" s="25"/>
      <c r="Q11" s="10"/>
      <c r="R11" s="14"/>
      <c r="S11" s="40"/>
      <c r="T11" s="15"/>
      <c r="U11" s="10" t="s">
        <v>18</v>
      </c>
      <c r="V11" s="15"/>
      <c r="W11" s="10" t="s">
        <v>19</v>
      </c>
      <c r="X11" s="15"/>
      <c r="Y11" s="41"/>
      <c r="Z11" s="10"/>
      <c r="AA11" s="24"/>
    </row>
    <row r="12" customFormat="false" ht="21" hidden="false" customHeight="true" outlineLevel="0" collapsed="false">
      <c r="A12" s="42"/>
      <c r="B12" s="43"/>
      <c r="C12" s="36" t="n">
        <v>60.3</v>
      </c>
      <c r="D12" s="37"/>
      <c r="E12" s="38" t="n">
        <v>509</v>
      </c>
      <c r="F12" s="44"/>
      <c r="G12" s="38"/>
      <c r="H12" s="42"/>
      <c r="I12" s="42"/>
      <c r="J12" s="36"/>
      <c r="K12" s="42"/>
      <c r="L12" s="42"/>
      <c r="M12" s="42"/>
      <c r="N12" s="42"/>
      <c r="O12" s="42"/>
      <c r="P12" s="42"/>
      <c r="Q12" s="10"/>
      <c r="R12" s="14"/>
      <c r="S12" s="35" t="s">
        <v>13</v>
      </c>
      <c r="T12" s="35"/>
      <c r="U12" s="35"/>
      <c r="V12" s="35"/>
      <c r="W12" s="35"/>
      <c r="X12" s="17"/>
      <c r="Y12" s="17"/>
      <c r="Z12" s="45"/>
      <c r="AA12" s="24"/>
    </row>
    <row r="13" customFormat="false" ht="21" hidden="false" customHeight="true" outlineLevel="0" collapsed="false">
      <c r="A13" s="10"/>
      <c r="B13" s="14"/>
      <c r="C13" s="36" t="n">
        <v>80.2</v>
      </c>
      <c r="D13" s="10"/>
      <c r="E13" s="46" t="n">
        <v>675</v>
      </c>
      <c r="F13" s="24"/>
      <c r="G13" s="38"/>
      <c r="H13" s="10"/>
      <c r="I13" s="10"/>
      <c r="J13" s="47"/>
      <c r="K13" s="10"/>
      <c r="L13" s="10"/>
      <c r="M13" s="10"/>
      <c r="N13" s="10"/>
      <c r="O13" s="10"/>
      <c r="P13" s="10"/>
      <c r="Q13" s="10"/>
      <c r="R13" s="48"/>
      <c r="S13" s="40" t="s">
        <v>14</v>
      </c>
      <c r="T13" s="15" t="s">
        <v>15</v>
      </c>
      <c r="U13" s="10" t="s">
        <v>20</v>
      </c>
      <c r="V13" s="15" t="s">
        <v>15</v>
      </c>
      <c r="W13" s="10" t="s">
        <v>21</v>
      </c>
      <c r="X13" s="15" t="s">
        <v>15</v>
      </c>
      <c r="Y13" s="41" t="n">
        <f aca="false">8.37*1000/(0.4 * PI() )</f>
        <v>6660.63436839582</v>
      </c>
      <c r="Z13" s="17"/>
      <c r="AA13" s="49"/>
    </row>
    <row r="14" customFormat="false" ht="21" hidden="false" customHeight="true" outlineLevel="0" collapsed="false">
      <c r="A14" s="10"/>
      <c r="B14" s="14"/>
      <c r="C14" s="36" t="n">
        <v>99.4</v>
      </c>
      <c r="D14" s="10"/>
      <c r="E14" s="46" t="n">
        <v>834</v>
      </c>
      <c r="F14" s="24"/>
      <c r="G14" s="38"/>
      <c r="H14" s="10"/>
      <c r="I14" s="10"/>
      <c r="J14" s="47"/>
      <c r="K14" s="10"/>
      <c r="L14" s="10"/>
      <c r="M14" s="10"/>
      <c r="N14" s="10"/>
      <c r="O14" s="10"/>
      <c r="P14" s="10"/>
      <c r="Q14" s="10"/>
      <c r="R14" s="48"/>
      <c r="S14" s="40"/>
      <c r="T14" s="15"/>
      <c r="U14" s="50" t="s">
        <v>22</v>
      </c>
      <c r="V14" s="15"/>
      <c r="W14" s="51" t="s">
        <v>23</v>
      </c>
      <c r="X14" s="15"/>
      <c r="Y14" s="41"/>
      <c r="Z14" s="17"/>
      <c r="AA14" s="49"/>
    </row>
    <row r="15" customFormat="false" ht="21" hidden="false" customHeight="true" outlineLevel="0" collapsed="false">
      <c r="A15" s="10"/>
      <c r="B15" s="14"/>
      <c r="C15" s="36" t="n">
        <v>119.5</v>
      </c>
      <c r="D15" s="10"/>
      <c r="E15" s="46" t="n">
        <v>983</v>
      </c>
      <c r="F15" s="24"/>
      <c r="G15" s="38"/>
      <c r="H15" s="10"/>
      <c r="I15" s="10"/>
      <c r="J15" s="47"/>
      <c r="K15" s="10"/>
      <c r="L15" s="10"/>
      <c r="M15" s="10"/>
      <c r="N15" s="10"/>
      <c r="O15" s="10"/>
      <c r="P15" s="10"/>
      <c r="Q15" s="10"/>
      <c r="R15" s="48"/>
      <c r="S15" s="35" t="s">
        <v>24</v>
      </c>
      <c r="T15" s="35"/>
      <c r="U15" s="35"/>
      <c r="V15" s="35"/>
      <c r="W15" s="35"/>
      <c r="X15" s="17"/>
      <c r="Y15" s="17"/>
      <c r="Z15" s="17"/>
      <c r="AA15" s="49"/>
    </row>
    <row r="16" customFormat="false" ht="21" hidden="false" customHeight="true" outlineLevel="0" collapsed="false">
      <c r="A16" s="10"/>
      <c r="B16" s="14"/>
      <c r="C16" s="36" t="n">
        <v>140.2</v>
      </c>
      <c r="D16" s="10"/>
      <c r="E16" s="46" t="n">
        <v>1179</v>
      </c>
      <c r="F16" s="24"/>
      <c r="G16" s="38"/>
      <c r="H16" s="10"/>
      <c r="I16" s="10"/>
      <c r="J16" s="47"/>
      <c r="K16" s="10"/>
      <c r="L16" s="10"/>
      <c r="M16" s="10"/>
      <c r="N16" s="10"/>
      <c r="O16" s="10"/>
      <c r="P16" s="10"/>
      <c r="Q16" s="10"/>
      <c r="R16" s="48"/>
      <c r="S16" s="15"/>
      <c r="T16" s="15" t="s">
        <v>15</v>
      </c>
      <c r="U16" s="17"/>
      <c r="V16" s="15" t="s">
        <v>15</v>
      </c>
      <c r="W16" s="17"/>
      <c r="X16" s="15" t="s">
        <v>15</v>
      </c>
      <c r="Y16" s="17"/>
      <c r="Z16" s="17"/>
      <c r="AA16" s="49"/>
    </row>
    <row r="17" customFormat="false" ht="21" hidden="false" customHeight="true" outlineLevel="0" collapsed="false">
      <c r="A17" s="10"/>
      <c r="B17" s="14"/>
      <c r="C17" s="36" t="n">
        <v>160</v>
      </c>
      <c r="D17" s="10"/>
      <c r="E17" s="46" t="n">
        <v>1336</v>
      </c>
      <c r="F17" s="24"/>
      <c r="G17" s="38"/>
      <c r="H17" s="10"/>
      <c r="I17" s="10"/>
      <c r="J17" s="47"/>
      <c r="K17" s="10"/>
      <c r="L17" s="10"/>
      <c r="M17" s="10"/>
      <c r="N17" s="10"/>
      <c r="O17" s="10"/>
      <c r="P17" s="10"/>
      <c r="Q17" s="10"/>
      <c r="R17" s="48"/>
      <c r="S17" s="15"/>
      <c r="T17" s="15"/>
      <c r="U17" s="17"/>
      <c r="V17" s="15"/>
      <c r="W17" s="17"/>
      <c r="X17" s="15"/>
      <c r="Y17" s="17"/>
      <c r="Z17" s="17"/>
      <c r="AA17" s="49"/>
    </row>
    <row r="18" customFormat="false" ht="21" hidden="false" customHeight="true" outlineLevel="0" collapsed="false">
      <c r="A18" s="10"/>
      <c r="B18" s="14"/>
      <c r="C18" s="36" t="n">
        <v>180.6</v>
      </c>
      <c r="D18" s="10"/>
      <c r="E18" s="46" t="n">
        <v>1526</v>
      </c>
      <c r="F18" s="24"/>
      <c r="G18" s="38"/>
      <c r="H18" s="10"/>
      <c r="I18" s="10"/>
      <c r="J18" s="47"/>
      <c r="K18" s="10"/>
      <c r="L18" s="10"/>
      <c r="M18" s="10"/>
      <c r="N18" s="10"/>
      <c r="O18" s="10"/>
      <c r="P18" s="10"/>
      <c r="Q18" s="10"/>
      <c r="R18" s="52"/>
      <c r="S18" s="32"/>
      <c r="T18" s="32"/>
      <c r="U18" s="32"/>
      <c r="V18" s="32"/>
      <c r="W18" s="32"/>
      <c r="X18" s="32"/>
      <c r="Y18" s="32"/>
      <c r="Z18" s="32"/>
      <c r="AA18" s="53"/>
    </row>
    <row r="19" customFormat="false" ht="21" hidden="false" customHeight="true" outlineLevel="0" collapsed="false">
      <c r="A19" s="10"/>
      <c r="B19" s="14"/>
      <c r="C19" s="36" t="n">
        <v>199.2</v>
      </c>
      <c r="D19" s="10"/>
      <c r="E19" s="46" t="n">
        <v>1663</v>
      </c>
      <c r="F19" s="24"/>
      <c r="G19" s="38"/>
      <c r="H19" s="10"/>
      <c r="I19" s="10"/>
      <c r="J19" s="47"/>
      <c r="K19" s="10"/>
      <c r="L19" s="10"/>
      <c r="M19" s="10"/>
      <c r="N19" s="10"/>
      <c r="O19" s="10"/>
      <c r="P19" s="10"/>
      <c r="Q19" s="10"/>
      <c r="S19" s="17"/>
      <c r="T19" s="17"/>
      <c r="U19" s="17"/>
      <c r="V19" s="17"/>
      <c r="W19" s="17"/>
      <c r="X19" s="17"/>
      <c r="Y19" s="17"/>
      <c r="Z19" s="17"/>
    </row>
    <row r="20" customFormat="false" ht="12" hidden="false" customHeight="true" outlineLevel="0" collapsed="false">
      <c r="A20" s="10"/>
      <c r="B20" s="54"/>
      <c r="C20" s="27"/>
      <c r="D20" s="27"/>
      <c r="E20" s="27"/>
      <c r="F20" s="34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5" customFormat="false" ht="15" hidden="false" customHeight="false" outlineLevel="0" collapsed="false">
      <c r="A25" s="10"/>
      <c r="B25" s="11"/>
      <c r="C25" s="12"/>
      <c r="D25" s="12"/>
      <c r="E25" s="12"/>
      <c r="F25" s="13"/>
      <c r="G25" s="10"/>
    </row>
    <row r="26" customFormat="false" ht="15" hidden="false" customHeight="false" outlineLevel="0" collapsed="false">
      <c r="A26" s="10"/>
      <c r="B26" s="14"/>
      <c r="C26" s="15" t="s">
        <v>4</v>
      </c>
      <c r="D26" s="15"/>
      <c r="E26" s="15"/>
      <c r="F26" s="16"/>
      <c r="G26" s="17"/>
    </row>
    <row r="27" customFormat="false" ht="15" hidden="false" customHeight="false" outlineLevel="0" collapsed="false">
      <c r="A27" s="25"/>
      <c r="B27" s="26"/>
      <c r="C27" s="27" t="s">
        <v>10</v>
      </c>
      <c r="D27" s="10"/>
      <c r="E27" s="27" t="s">
        <v>11</v>
      </c>
      <c r="F27" s="24"/>
      <c r="G27" s="10"/>
    </row>
    <row r="28" customFormat="false" ht="15" hidden="false" customHeight="false" outlineLevel="0" collapsed="false">
      <c r="A28" s="25"/>
      <c r="B28" s="26"/>
      <c r="C28" s="36" t="n">
        <v>20.2</v>
      </c>
      <c r="D28" s="37"/>
      <c r="E28" s="38" t="n">
        <v>112</v>
      </c>
      <c r="F28" s="39"/>
      <c r="G28" s="38"/>
    </row>
    <row r="29" customFormat="false" ht="15" hidden="false" customHeight="false" outlineLevel="0" collapsed="false">
      <c r="A29" s="25"/>
      <c r="B29" s="26"/>
      <c r="C29" s="36" t="n">
        <v>39.5</v>
      </c>
      <c r="D29" s="37"/>
      <c r="E29" s="38" t="n">
        <v>197</v>
      </c>
      <c r="F29" s="39"/>
      <c r="G29" s="38"/>
    </row>
    <row r="30" customFormat="false" ht="15" hidden="false" customHeight="false" outlineLevel="0" collapsed="false">
      <c r="A30" s="42"/>
      <c r="B30" s="43"/>
      <c r="C30" s="36" t="n">
        <v>60.3</v>
      </c>
      <c r="D30" s="37"/>
      <c r="E30" s="38" t="n">
        <v>304</v>
      </c>
      <c r="F30" s="44"/>
      <c r="G30" s="38"/>
    </row>
    <row r="31" customFormat="false" ht="15" hidden="false" customHeight="false" outlineLevel="0" collapsed="false">
      <c r="A31" s="10"/>
      <c r="B31" s="14"/>
      <c r="C31" s="36" t="n">
        <v>80.3</v>
      </c>
      <c r="D31" s="10"/>
      <c r="E31" s="46" t="n">
        <v>389</v>
      </c>
      <c r="F31" s="24"/>
      <c r="G31" s="38"/>
    </row>
    <row r="32" customFormat="false" ht="15" hidden="false" customHeight="false" outlineLevel="0" collapsed="false">
      <c r="A32" s="10"/>
      <c r="B32" s="14"/>
      <c r="C32" s="36" t="n">
        <v>100.3</v>
      </c>
      <c r="D32" s="10"/>
      <c r="E32" s="46" t="n">
        <v>484</v>
      </c>
      <c r="F32" s="24"/>
      <c r="G32" s="38"/>
    </row>
    <row r="33" customFormat="false" ht="15" hidden="false" customHeight="false" outlineLevel="0" collapsed="false">
      <c r="A33" s="10"/>
      <c r="B33" s="14"/>
      <c r="C33" s="36" t="n">
        <v>120.2</v>
      </c>
      <c r="D33" s="10"/>
      <c r="E33" s="46" t="n">
        <v>596</v>
      </c>
      <c r="F33" s="24"/>
      <c r="G33" s="38"/>
    </row>
    <row r="34" customFormat="false" ht="15" hidden="false" customHeight="false" outlineLevel="0" collapsed="false">
      <c r="A34" s="10"/>
      <c r="B34" s="14"/>
      <c r="C34" s="36" t="n">
        <v>140.4</v>
      </c>
      <c r="D34" s="10"/>
      <c r="E34" s="46" t="n">
        <v>685</v>
      </c>
      <c r="F34" s="24"/>
      <c r="G34" s="38"/>
    </row>
    <row r="35" customFormat="false" ht="15" hidden="false" customHeight="false" outlineLevel="0" collapsed="false">
      <c r="A35" s="10"/>
      <c r="B35" s="14"/>
      <c r="C35" s="36" t="n">
        <v>159.9</v>
      </c>
      <c r="D35" s="10"/>
      <c r="E35" s="46" t="n">
        <v>792</v>
      </c>
      <c r="F35" s="24"/>
      <c r="G35" s="38"/>
    </row>
    <row r="36" customFormat="false" ht="15" hidden="false" customHeight="false" outlineLevel="0" collapsed="false">
      <c r="A36" s="10"/>
      <c r="B36" s="14"/>
      <c r="C36" s="36" t="n">
        <v>180</v>
      </c>
      <c r="D36" s="10"/>
      <c r="E36" s="46" t="n">
        <v>890</v>
      </c>
      <c r="F36" s="24"/>
      <c r="G36" s="38"/>
    </row>
    <row r="37" customFormat="false" ht="15" hidden="false" customHeight="false" outlineLevel="0" collapsed="false">
      <c r="A37" s="10"/>
      <c r="B37" s="14"/>
      <c r="C37" s="36" t="n">
        <v>198.7</v>
      </c>
      <c r="D37" s="10"/>
      <c r="E37" s="46" t="n">
        <v>985</v>
      </c>
      <c r="F37" s="24"/>
      <c r="G37" s="38"/>
    </row>
    <row r="38" customFormat="false" ht="15" hidden="false" customHeight="false" outlineLevel="0" collapsed="false">
      <c r="A38" s="10"/>
      <c r="B38" s="54"/>
      <c r="C38" s="27"/>
      <c r="D38" s="27"/>
      <c r="E38" s="27"/>
      <c r="F38" s="34"/>
      <c r="G38" s="10"/>
    </row>
  </sheetData>
  <mergeCells count="27">
    <mergeCell ref="B2:C2"/>
    <mergeCell ref="D2:M2"/>
    <mergeCell ref="B3:C3"/>
    <mergeCell ref="D3:M3"/>
    <mergeCell ref="B4:C4"/>
    <mergeCell ref="D4:J4"/>
    <mergeCell ref="L4:M4"/>
    <mergeCell ref="C8:E8"/>
    <mergeCell ref="S8:W8"/>
    <mergeCell ref="S9:W9"/>
    <mergeCell ref="S10:S11"/>
    <mergeCell ref="T10:T11"/>
    <mergeCell ref="V10:V11"/>
    <mergeCell ref="X10:X11"/>
    <mergeCell ref="Y10:Y11"/>
    <mergeCell ref="S12:W12"/>
    <mergeCell ref="S13:S14"/>
    <mergeCell ref="T13:T14"/>
    <mergeCell ref="V13:V14"/>
    <mergeCell ref="X13:X14"/>
    <mergeCell ref="Y13:Y14"/>
    <mergeCell ref="S15:W15"/>
    <mergeCell ref="S16:S17"/>
    <mergeCell ref="T16:T17"/>
    <mergeCell ref="V16:V17"/>
    <mergeCell ref="X16:X17"/>
    <mergeCell ref="C26:E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LibreOffice/25.8.6.2$Linux_AARCH64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2016-04-29T01:44:16Z</dcterms:created>
  <dc:creator>rccd</dc:creator>
  <dc:description/>
  <dc:language>en-US</dc:language>
  <cp:lastModifiedBy/>
  <dcterms:modified xsi:type="dcterms:W3CDTF">2026-05-06T17:03:48Z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